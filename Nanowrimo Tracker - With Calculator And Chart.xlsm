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520" activeTab="1"/>
  </bookViews>
  <sheets>
    <sheet name="Nanowrimo 2018" sheetId="1" r:id="rId1"/>
    <sheet name="Nanowrimo 2019" sheetId="2" r:id="rId2"/>
  </sheets>
  <calcPr calcId="144525"/>
</workbook>
</file>

<file path=xl/sharedStrings.xml><?xml version="1.0" encoding="utf-8"?>
<sst xmlns="http://schemas.openxmlformats.org/spreadsheetml/2006/main" count="32">
  <si>
    <t>TRACK MY NANO</t>
  </si>
  <si>
    <t>DATE</t>
  </si>
  <si>
    <t>DAILY GOAL</t>
  </si>
  <si>
    <t>OLD
WORD COUNT</t>
  </si>
  <si>
    <t>NEW
WORD COUNT</t>
  </si>
  <si>
    <t>MET GOAL</t>
  </si>
  <si>
    <t>WORDS NEEDED</t>
  </si>
  <si>
    <t>TOTAL ADDED</t>
  </si>
  <si>
    <t>TOTAL NEEDED</t>
  </si>
  <si>
    <r>
      <rPr>
        <b/>
        <sz val="14"/>
        <color theme="1"/>
        <rFont val="GARAMOND"/>
        <charset val="134"/>
      </rPr>
      <t xml:space="preserve">NANO GOAL 
</t>
    </r>
    <r>
      <rPr>
        <sz val="12"/>
        <color theme="1"/>
        <rFont val="GARAMOND"/>
        <charset val="134"/>
      </rPr>
      <t>(Can set new goal)</t>
    </r>
  </si>
  <si>
    <t>NOTES</t>
  </si>
  <si>
    <t>CALCULATOR</t>
  </si>
  <si>
    <t>DOESN'T WORK IF FIRST DAY IS EMPTY</t>
  </si>
  <si>
    <r>
      <rPr>
        <b/>
        <sz val="14"/>
        <color rgb="FF00B050"/>
        <rFont val="GARAMOND"/>
        <charset val="134"/>
      </rPr>
      <t xml:space="preserve">ADD </t>
    </r>
    <r>
      <rPr>
        <b/>
        <sz val="14"/>
        <rFont val="GARAMOND"/>
        <charset val="134"/>
      </rPr>
      <t>(+)</t>
    </r>
  </si>
  <si>
    <t>"=(F6&lt;&gt;0)*IF(F5&lt;=0, E5, LOOKUP(2,1/($F$5:$F5&lt;&gt;0),$F$5:$F5),F5)</t>
  </si>
  <si>
    <t>MET GOAL FIX ICON</t>
  </si>
  <si>
    <t>FIRST_NUM</t>
  </si>
  <si>
    <t>REMOVE RED ICONS WHEN BLANK</t>
  </si>
  <si>
    <t>SEC_NUM</t>
  </si>
  <si>
    <t>FIX TIMER</t>
  </si>
  <si>
    <t>TOTAL</t>
  </si>
  <si>
    <t>LOOKUP(2,1/($F$5:$F5&lt;&gt;0),$F$5:$F5),F5)</t>
  </si>
  <si>
    <t>FIX TIME TO COUNTDOWN</t>
  </si>
  <si>
    <r>
      <rPr>
        <b/>
        <sz val="14"/>
        <color rgb="FFFF4343"/>
        <rFont val="GARAMOND"/>
        <charset val="134"/>
      </rPr>
      <t xml:space="preserve">SUBTRACT </t>
    </r>
    <r>
      <rPr>
        <b/>
        <sz val="14"/>
        <rFont val="GARAMOND"/>
        <charset val="134"/>
      </rPr>
      <t>(-)</t>
    </r>
  </si>
  <si>
    <r>
      <rPr>
        <b/>
        <sz val="14"/>
        <color rgb="FF55276F"/>
        <rFont val="GARAMOND"/>
        <charset val="134"/>
      </rPr>
      <t>MULTIPLY</t>
    </r>
    <r>
      <rPr>
        <b/>
        <sz val="14"/>
        <color rgb="FFFF4343"/>
        <rFont val="GARAMOND"/>
        <charset val="134"/>
      </rPr>
      <t xml:space="preserve"> </t>
    </r>
    <r>
      <rPr>
        <b/>
        <sz val="14"/>
        <rFont val="GARAMOND"/>
        <charset val="134"/>
      </rPr>
      <t>(*)</t>
    </r>
  </si>
  <si>
    <r>
      <rPr>
        <b/>
        <sz val="14"/>
        <color rgb="FF00B0F0"/>
        <rFont val="GARAMOND"/>
        <charset val="134"/>
      </rPr>
      <t xml:space="preserve">DIVIDE </t>
    </r>
    <r>
      <rPr>
        <b/>
        <sz val="14"/>
        <rFont val="GARAMOND"/>
        <charset val="134"/>
      </rPr>
      <t>(/)</t>
    </r>
  </si>
  <si>
    <t>COUNTDOWN</t>
  </si>
  <si>
    <t>ENTER TIME:</t>
  </si>
  <si>
    <r>
      <rPr>
        <b/>
        <sz val="15"/>
        <color theme="1"/>
        <rFont val="Calibri"/>
        <charset val="134"/>
        <scheme val="minor"/>
      </rPr>
      <t xml:space="preserve">NANO GOAL 
</t>
    </r>
    <r>
      <rPr>
        <sz val="12"/>
        <color theme="1"/>
        <rFont val="Calibri"/>
        <charset val="134"/>
        <scheme val="minor"/>
      </rPr>
      <t>(Can set new goal)</t>
    </r>
  </si>
  <si>
    <t>ADD</t>
  </si>
  <si>
    <t>DIVIDE</t>
  </si>
  <si>
    <t>MULTIPLY</t>
  </si>
</sst>
</file>

<file path=xl/styles.xml><?xml version="1.0" encoding="utf-8"?>
<styleSheet xmlns="http://schemas.openxmlformats.org/spreadsheetml/2006/main">
  <numFmts count="7">
    <numFmt numFmtId="176" formatCode="ddd\,\ mm/dd/yyyy"/>
    <numFmt numFmtId="177" formatCode="_ * #,##0_ ;_ * \-#,##0_ ;_ * &quot;-&quot;_ ;_ @_ "/>
    <numFmt numFmtId="178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9" formatCode="[$-F400]h:mm:ss\ AM/PM"/>
    <numFmt numFmtId="180" formatCode="h:mm:ss;@"/>
  </numFmts>
  <fonts count="50">
    <font>
      <sz val="11"/>
      <color theme="1"/>
      <name val="Calibri"/>
      <charset val="134"/>
      <scheme val="minor"/>
    </font>
    <font>
      <b/>
      <sz val="15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5"/>
      <name val="Calibri"/>
      <charset val="134"/>
      <scheme val="minor"/>
    </font>
    <font>
      <sz val="15"/>
      <color theme="7" tint="-0.499984740745262"/>
      <name val="Calibri"/>
      <charset val="134"/>
      <scheme val="minor"/>
    </font>
    <font>
      <b/>
      <sz val="20"/>
      <color rgb="FF7030A0"/>
      <name val="Calibri"/>
      <charset val="134"/>
      <scheme val="minor"/>
    </font>
    <font>
      <b/>
      <sz val="15"/>
      <color rgb="FF7030A0"/>
      <name val="Calibri"/>
      <charset val="134"/>
      <scheme val="minor"/>
    </font>
    <font>
      <b/>
      <sz val="11"/>
      <color rgb="FFFF00FF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1"/>
      <color theme="9"/>
      <name val="Calibri"/>
      <charset val="134"/>
      <scheme val="minor"/>
    </font>
    <font>
      <b/>
      <sz val="11"/>
      <color rgb="FF00B0F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sz val="11"/>
      <color rgb="FF7030A0"/>
      <name val="GARAMOND"/>
      <charset val="134"/>
    </font>
    <font>
      <sz val="11"/>
      <color theme="1"/>
      <name val="GARAMOND"/>
      <charset val="134"/>
    </font>
    <font>
      <sz val="50"/>
      <color rgb="FF7030A0"/>
      <name val="GARAMOND"/>
      <charset val="134"/>
    </font>
    <font>
      <b/>
      <sz val="14"/>
      <color theme="1"/>
      <name val="GARAMOND"/>
      <charset val="134"/>
    </font>
    <font>
      <b/>
      <sz val="15"/>
      <color theme="1"/>
      <name val="GARAMOND"/>
      <charset val="134"/>
    </font>
    <font>
      <sz val="12"/>
      <color theme="1"/>
      <name val="GARAMOND"/>
      <charset val="134"/>
    </font>
    <font>
      <sz val="12"/>
      <name val="GARAMOND"/>
      <charset val="134"/>
    </font>
    <font>
      <b/>
      <sz val="12"/>
      <color theme="1"/>
      <name val="GARAMOND"/>
      <charset val="134"/>
    </font>
    <font>
      <b/>
      <sz val="14"/>
      <color rgb="FFC00000"/>
      <name val="GARAMOND"/>
      <charset val="134"/>
    </font>
    <font>
      <b/>
      <sz val="20"/>
      <color rgb="FF7030A0"/>
      <name val="GARAMOND"/>
      <charset val="134"/>
    </font>
    <font>
      <sz val="11"/>
      <color theme="0"/>
      <name val="GARAMOND"/>
      <charset val="134"/>
    </font>
    <font>
      <b/>
      <sz val="15"/>
      <color rgb="FF8444C4"/>
      <name val="GARAMOND"/>
      <charset val="134"/>
    </font>
    <font>
      <b/>
      <sz val="14"/>
      <color rgb="FF00B050"/>
      <name val="GARAMOND"/>
      <charset val="134"/>
    </font>
    <font>
      <b/>
      <sz val="11"/>
      <color theme="1"/>
      <name val="GARAMOND"/>
      <charset val="134"/>
    </font>
    <font>
      <b/>
      <sz val="14"/>
      <color rgb="FFFF4343"/>
      <name val="GARAMOND"/>
      <charset val="134"/>
    </font>
    <font>
      <b/>
      <sz val="14"/>
      <color rgb="FF55276F"/>
      <name val="GARAMOND"/>
      <charset val="134"/>
    </font>
    <font>
      <b/>
      <sz val="14"/>
      <color rgb="FF00B0F0"/>
      <name val="GARAMOND"/>
      <charset val="134"/>
    </font>
    <font>
      <b/>
      <sz val="11"/>
      <name val="GARAMOND"/>
      <charset val="134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2"/>
      <color theme="1"/>
      <name val="Calibri"/>
      <charset val="134"/>
      <scheme val="minor"/>
    </font>
    <font>
      <b/>
      <sz val="14"/>
      <name val="GARAMOND"/>
      <charset val="134"/>
    </font>
  </fonts>
  <fills count="40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E0C5F1"/>
        <bgColor indexed="64"/>
      </patternFill>
    </fill>
    <fill>
      <patternFill patternType="solid">
        <fgColor rgb="FFCCA4DC"/>
        <bgColor indexed="64"/>
      </patternFill>
    </fill>
    <fill>
      <patternFill patternType="solid">
        <fgColor rgb="FFA170D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797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D2E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40" fillId="18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9" fillId="14" borderId="36" applyNumberFormat="0" applyAlignment="0" applyProtection="0">
      <alignment vertical="center"/>
    </xf>
    <xf numFmtId="0" fontId="2" fillId="0" borderId="33" applyNumberFormat="0" applyFill="0" applyAlignment="0" applyProtection="0">
      <alignment vertical="center"/>
    </xf>
    <xf numFmtId="0" fontId="0" fillId="11" borderId="35" applyNumberFormat="0" applyFon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33" applyNumberFormat="0" applyFill="0" applyAlignment="0" applyProtection="0">
      <alignment vertical="center"/>
    </xf>
    <xf numFmtId="0" fontId="32" fillId="0" borderId="3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0" fillId="10" borderId="32" applyNumberFormat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6" fillId="20" borderId="39" applyNumberFormat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2" fillId="20" borderId="32" applyNumberFormat="0" applyAlignment="0" applyProtection="0">
      <alignment vertical="center"/>
    </xf>
    <xf numFmtId="0" fontId="41" fillId="0" borderId="37" applyNumberFormat="0" applyFill="0" applyAlignment="0" applyProtection="0">
      <alignment vertical="center"/>
    </xf>
    <xf numFmtId="0" fontId="44" fillId="0" borderId="38" applyNumberFormat="0" applyFill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34" borderId="0" applyNumberFormat="0" applyBorder="0" applyAlignment="0" applyProtection="0">
      <alignment vertical="center"/>
    </xf>
    <xf numFmtId="0" fontId="40" fillId="2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38" fillId="38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38" fillId="37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 applyProtection="1">
      <alignment horizontal="center"/>
      <protection locked="0"/>
    </xf>
    <xf numFmtId="58" fontId="1" fillId="0" borderId="1" xfId="0" applyNumberFormat="1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58" fontId="1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7" fillId="2" borderId="8" xfId="0" applyFont="1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right" vertical="center"/>
      <protection locked="0"/>
    </xf>
    <xf numFmtId="0" fontId="0" fillId="2" borderId="12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right" vertical="center"/>
      <protection locked="0"/>
    </xf>
    <xf numFmtId="0" fontId="8" fillId="2" borderId="13" xfId="0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9" fillId="2" borderId="8" xfId="0" applyFont="1" applyFill="1" applyBorder="1" applyAlignment="1" applyProtection="1">
      <alignment horizontal="center" vertical="center"/>
    </xf>
    <xf numFmtId="0" fontId="9" fillId="2" borderId="9" xfId="0" applyFont="1" applyFill="1" applyBorder="1" applyAlignment="1" applyProtection="1">
      <alignment horizontal="center" vertical="center"/>
    </xf>
    <xf numFmtId="0" fontId="10" fillId="2" borderId="15" xfId="0" applyFont="1" applyFill="1" applyBorder="1" applyAlignment="1" applyProtection="1">
      <alignment horizontal="center" vertical="center"/>
    </xf>
    <xf numFmtId="0" fontId="10" fillId="2" borderId="16" xfId="0" applyFont="1" applyFill="1" applyBorder="1" applyAlignment="1" applyProtection="1">
      <alignment horizontal="center" vertical="center"/>
    </xf>
    <xf numFmtId="0" fontId="11" fillId="2" borderId="8" xfId="0" applyFont="1" applyFill="1" applyBorder="1" applyAlignment="1" applyProtection="1">
      <alignment horizontal="center" vertical="center"/>
    </xf>
    <xf numFmtId="0" fontId="11" fillId="2" borderId="9" xfId="0" applyFont="1" applyFill="1" applyBorder="1" applyAlignment="1" applyProtection="1">
      <alignment horizontal="center" vertical="center"/>
    </xf>
    <xf numFmtId="0" fontId="0" fillId="2" borderId="17" xfId="0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58" fontId="13" fillId="0" borderId="0" xfId="0" applyNumberFormat="1" applyFont="1" applyBorder="1" applyAlignment="1" applyProtection="1">
      <alignment horizontal="center" vertical="center"/>
      <protection locked="0"/>
    </xf>
    <xf numFmtId="3" fontId="13" fillId="0" borderId="0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/>
    <xf numFmtId="0" fontId="14" fillId="3" borderId="0" xfId="0" applyFont="1" applyFill="1" applyAlignment="1" applyProtection="1">
      <alignment horizontal="center" vertical="center"/>
      <protection locked="0"/>
    </xf>
    <xf numFmtId="3" fontId="14" fillId="3" borderId="0" xfId="0" applyNumberFormat="1" applyFont="1" applyFill="1" applyAlignment="1" applyProtection="1">
      <alignment horizontal="center" vertical="center"/>
      <protection locked="0"/>
    </xf>
    <xf numFmtId="0" fontId="13" fillId="4" borderId="0" xfId="0" applyFont="1" applyFill="1"/>
    <xf numFmtId="0" fontId="13" fillId="5" borderId="0" xfId="0" applyFont="1" applyFill="1" applyAlignment="1">
      <alignment horizontal="center" vertical="center"/>
    </xf>
    <xf numFmtId="0" fontId="13" fillId="6" borderId="0" xfId="0" applyFont="1" applyFill="1"/>
    <xf numFmtId="0" fontId="13" fillId="7" borderId="0" xfId="0" applyFont="1" applyFill="1"/>
    <xf numFmtId="0" fontId="13" fillId="5" borderId="0" xfId="0" applyFont="1" applyFill="1"/>
    <xf numFmtId="58" fontId="1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58" fontId="16" fillId="0" borderId="0" xfId="0" applyNumberFormat="1" applyFont="1" applyBorder="1" applyAlignment="1" applyProtection="1">
      <alignment horizontal="center" vertical="center" wrapText="1"/>
      <protection locked="0"/>
    </xf>
    <xf numFmtId="3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Protection="1">
      <protection locked="0"/>
    </xf>
    <xf numFmtId="176" fontId="17" fillId="0" borderId="1" xfId="0" applyNumberFormat="1" applyFont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18" fillId="0" borderId="18" xfId="0" applyNumberFormat="1" applyFont="1" applyBorder="1" applyAlignment="1" applyProtection="1">
      <alignment horizontal="center" vertical="center"/>
    </xf>
    <xf numFmtId="3" fontId="17" fillId="0" borderId="19" xfId="0" applyNumberFormat="1" applyFont="1" applyBorder="1" applyAlignment="1" applyProtection="1">
      <alignment horizontal="center" vertical="center"/>
      <protection locked="0"/>
    </xf>
    <xf numFmtId="3" fontId="18" fillId="0" borderId="20" xfId="0" applyNumberFormat="1" applyFont="1" applyBorder="1" applyAlignment="1" applyProtection="1">
      <alignment horizontal="center" vertical="center"/>
    </xf>
    <xf numFmtId="3" fontId="17" fillId="0" borderId="21" xfId="0" applyNumberFormat="1" applyFont="1" applyBorder="1" applyAlignment="1" applyProtection="1">
      <alignment horizontal="center" vertical="center"/>
      <protection locked="0"/>
    </xf>
    <xf numFmtId="3" fontId="17" fillId="0" borderId="20" xfId="0" applyNumberFormat="1" applyFont="1" applyBorder="1" applyAlignment="1" applyProtection="1">
      <alignment horizontal="center" vertical="center"/>
    </xf>
    <xf numFmtId="3" fontId="18" fillId="0" borderId="22" xfId="0" applyNumberFormat="1" applyFont="1" applyBorder="1" applyAlignment="1" applyProtection="1">
      <alignment horizontal="center" vertical="center"/>
    </xf>
    <xf numFmtId="3" fontId="17" fillId="0" borderId="23" xfId="0" applyNumberFormat="1" applyFont="1" applyBorder="1" applyAlignment="1" applyProtection="1">
      <alignment horizontal="center" vertical="center"/>
      <protection locked="0"/>
    </xf>
    <xf numFmtId="3" fontId="17" fillId="0" borderId="22" xfId="0" applyNumberFormat="1" applyFont="1" applyBorder="1" applyAlignment="1" applyProtection="1">
      <alignment horizontal="center" vertical="center"/>
    </xf>
    <xf numFmtId="0" fontId="17" fillId="0" borderId="0" xfId="0" applyFont="1" applyBorder="1" applyProtection="1"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0" fontId="14" fillId="3" borderId="0" xfId="0" applyFont="1" applyFill="1" applyAlignment="1" applyProtection="1">
      <alignment vertical="center"/>
      <protection locked="0"/>
    </xf>
    <xf numFmtId="0" fontId="13" fillId="5" borderId="0" xfId="0" applyFont="1" applyFill="1" applyAlignment="1">
      <alignment wrapText="1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5" fillId="8" borderId="1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vertical="center"/>
    </xf>
    <xf numFmtId="0" fontId="13" fillId="0" borderId="24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>
      <alignment horizontal="center"/>
    </xf>
    <xf numFmtId="3" fontId="17" fillId="0" borderId="19" xfId="0" applyNumberFormat="1" applyFont="1" applyBorder="1" applyAlignment="1">
      <alignment horizontal="center" vertical="center"/>
    </xf>
    <xf numFmtId="3" fontId="19" fillId="0" borderId="18" xfId="0" applyNumberFormat="1" applyFont="1" applyBorder="1" applyAlignment="1" applyProtection="1">
      <alignment horizontal="center" vertical="center"/>
    </xf>
    <xf numFmtId="0" fontId="20" fillId="0" borderId="25" xfId="0" applyFont="1" applyBorder="1" applyAlignment="1" applyProtection="1">
      <alignment horizontal="center" vertical="center"/>
    </xf>
    <xf numFmtId="3" fontId="21" fillId="0" borderId="19" xfId="0" applyNumberFormat="1" applyFont="1" applyBorder="1" applyAlignment="1" applyProtection="1">
      <alignment horizontal="center" vertical="center"/>
      <protection locked="0"/>
    </xf>
    <xf numFmtId="0" fontId="13" fillId="0" borderId="26" xfId="0" applyFont="1" applyBorder="1" applyAlignment="1">
      <alignment wrapText="1"/>
    </xf>
    <xf numFmtId="0" fontId="13" fillId="8" borderId="25" xfId="0" applyFont="1" applyFill="1" applyBorder="1" applyAlignment="1">
      <alignment wrapText="1"/>
    </xf>
    <xf numFmtId="3" fontId="17" fillId="0" borderId="21" xfId="0" applyNumberFormat="1" applyFont="1" applyBorder="1" applyAlignment="1">
      <alignment horizontal="center" vertical="center"/>
    </xf>
    <xf numFmtId="0" fontId="17" fillId="0" borderId="20" xfId="0" applyFont="1" applyBorder="1" applyAlignment="1" applyProtection="1">
      <alignment horizontal="center" vertical="center"/>
      <protection locked="0"/>
    </xf>
    <xf numFmtId="0" fontId="17" fillId="0" borderId="21" xfId="0" applyFont="1" applyBorder="1" applyAlignment="1" applyProtection="1">
      <alignment horizontal="center" vertical="center"/>
      <protection locked="0"/>
    </xf>
    <xf numFmtId="0" fontId="13" fillId="0" borderId="27" xfId="0" applyFont="1" applyBorder="1" applyAlignment="1">
      <alignment wrapText="1"/>
    </xf>
    <xf numFmtId="0" fontId="13" fillId="8" borderId="0" xfId="0" applyFont="1" applyFill="1" applyBorder="1" applyAlignment="1">
      <alignment wrapText="1"/>
    </xf>
    <xf numFmtId="3" fontId="17" fillId="0" borderId="23" xfId="0" applyNumberFormat="1" applyFont="1" applyBorder="1" applyAlignment="1">
      <alignment horizontal="center" vertical="center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8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3" fillId="0" borderId="29" xfId="0" applyFont="1" applyBorder="1" applyAlignment="1">
      <alignment wrapText="1"/>
    </xf>
    <xf numFmtId="0" fontId="13" fillId="8" borderId="28" xfId="0" applyFont="1" applyFill="1" applyBorder="1" applyAlignment="1">
      <alignment wrapText="1"/>
    </xf>
    <xf numFmtId="0" fontId="17" fillId="0" borderId="0" xfId="0" applyFont="1" applyBorder="1" applyAlignment="1" applyProtection="1">
      <alignment vertical="center"/>
      <protection locked="0"/>
    </xf>
    <xf numFmtId="0" fontId="14" fillId="8" borderId="0" xfId="0" applyFont="1" applyFill="1" applyAlignment="1" applyProtection="1">
      <alignment vertical="center"/>
      <protection locked="0"/>
    </xf>
    <xf numFmtId="179" fontId="21" fillId="3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/>
    </xf>
    <xf numFmtId="0" fontId="22" fillId="0" borderId="0" xfId="0" applyFont="1" applyAlignment="1" applyProtection="1">
      <alignment vertical="center"/>
      <protection locked="0"/>
    </xf>
    <xf numFmtId="0" fontId="13" fillId="8" borderId="0" xfId="0" applyFont="1" applyFill="1"/>
    <xf numFmtId="0" fontId="22" fillId="7" borderId="0" xfId="0" applyFont="1" applyFill="1" applyAlignment="1" applyProtection="1">
      <alignment vertical="center"/>
      <protection locked="0"/>
    </xf>
    <xf numFmtId="0" fontId="16" fillId="8" borderId="30" xfId="0" applyFont="1" applyFill="1" applyBorder="1" applyAlignment="1">
      <alignment vertical="center"/>
    </xf>
    <xf numFmtId="0" fontId="23" fillId="9" borderId="15" xfId="0" applyFont="1" applyFill="1" applyBorder="1" applyAlignment="1" applyProtection="1">
      <alignment horizontal="center" vertical="center"/>
    </xf>
    <xf numFmtId="0" fontId="23" fillId="9" borderId="16" xfId="0" applyFont="1" applyFill="1" applyBorder="1" applyAlignment="1" applyProtection="1">
      <alignment horizontal="center" vertical="center"/>
    </xf>
    <xf numFmtId="0" fontId="22" fillId="0" borderId="0" xfId="0" applyFont="1"/>
    <xf numFmtId="0" fontId="13" fillId="8" borderId="19" xfId="0" applyFont="1" applyFill="1" applyBorder="1" applyAlignment="1">
      <alignment wrapText="1"/>
    </xf>
    <xf numFmtId="0" fontId="13" fillId="0" borderId="20" xfId="0" applyFont="1" applyBorder="1" applyAlignment="1">
      <alignment horizontal="center"/>
    </xf>
    <xf numFmtId="0" fontId="24" fillId="9" borderId="15" xfId="0" applyFont="1" applyFill="1" applyBorder="1" applyAlignment="1" applyProtection="1">
      <alignment horizontal="center" vertical="center"/>
    </xf>
    <xf numFmtId="0" fontId="24" fillId="9" borderId="16" xfId="0" applyFont="1" applyFill="1" applyBorder="1" applyAlignment="1" applyProtection="1">
      <alignment horizontal="center" vertical="center"/>
    </xf>
    <xf numFmtId="0" fontId="13" fillId="8" borderId="21" xfId="0" applyFont="1" applyFill="1" applyBorder="1" applyAlignment="1">
      <alignment wrapText="1"/>
    </xf>
    <xf numFmtId="0" fontId="13" fillId="9" borderId="10" xfId="0" applyFont="1" applyFill="1" applyBorder="1" applyAlignment="1" applyProtection="1">
      <alignment horizontal="center" vertical="center"/>
    </xf>
    <xf numFmtId="0" fontId="13" fillId="9" borderId="31" xfId="0" applyFont="1" applyFill="1" applyBorder="1" applyAlignment="1" applyProtection="1">
      <alignment horizontal="right" vertical="center"/>
      <protection locked="0"/>
    </xf>
    <xf numFmtId="0" fontId="13" fillId="9" borderId="12" xfId="0" applyFont="1" applyFill="1" applyBorder="1" applyAlignment="1" applyProtection="1">
      <alignment horizontal="center" vertical="center"/>
    </xf>
    <xf numFmtId="0" fontId="13" fillId="9" borderId="11" xfId="0" applyFont="1" applyFill="1" applyBorder="1" applyAlignment="1" applyProtection="1">
      <alignment horizontal="right" vertical="center"/>
      <protection locked="0"/>
    </xf>
    <xf numFmtId="0" fontId="25" fillId="9" borderId="13" xfId="0" applyFont="1" applyFill="1" applyBorder="1" applyAlignment="1" applyProtection="1">
      <alignment horizontal="center" vertical="center"/>
    </xf>
    <xf numFmtId="0" fontId="25" fillId="9" borderId="14" xfId="0" applyFont="1" applyFill="1" applyBorder="1" applyAlignment="1" applyProtection="1">
      <alignment horizontal="right" vertical="center"/>
    </xf>
    <xf numFmtId="0" fontId="26" fillId="9" borderId="15" xfId="0" applyFont="1" applyFill="1" applyBorder="1" applyAlignment="1" applyProtection="1">
      <alignment horizontal="center" vertical="center"/>
    </xf>
    <xf numFmtId="0" fontId="26" fillId="9" borderId="16" xfId="0" applyFont="1" applyFill="1" applyBorder="1" applyAlignment="1" applyProtection="1">
      <alignment horizontal="center" vertical="center"/>
    </xf>
    <xf numFmtId="0" fontId="27" fillId="9" borderId="15" xfId="0" applyFont="1" applyFill="1" applyBorder="1" applyAlignment="1" applyProtection="1">
      <alignment horizontal="center" vertical="center"/>
    </xf>
    <xf numFmtId="0" fontId="28" fillId="9" borderId="15" xfId="0" applyFont="1" applyFill="1" applyBorder="1" applyAlignment="1" applyProtection="1">
      <alignment horizontal="center" vertical="center"/>
    </xf>
    <xf numFmtId="0" fontId="28" fillId="9" borderId="16" xfId="0" applyFont="1" applyFill="1" applyBorder="1" applyAlignment="1" applyProtection="1">
      <alignment horizontal="center" vertical="center"/>
    </xf>
    <xf numFmtId="0" fontId="13" fillId="9" borderId="5" xfId="0" applyFont="1" applyFill="1" applyBorder="1" applyAlignment="1" applyProtection="1">
      <alignment horizontal="right" vertical="center"/>
      <protection locked="0"/>
    </xf>
    <xf numFmtId="0" fontId="29" fillId="9" borderId="14" xfId="0" applyFont="1" applyFill="1" applyBorder="1" applyAlignment="1" applyProtection="1">
      <alignment horizontal="right" vertical="center"/>
    </xf>
    <xf numFmtId="0" fontId="23" fillId="4" borderId="2" xfId="0" applyFont="1" applyFill="1" applyBorder="1" applyAlignment="1" applyProtection="1">
      <alignment horizontal="center" vertical="center"/>
    </xf>
    <xf numFmtId="0" fontId="23" fillId="4" borderId="3" xfId="0" applyFont="1" applyFill="1" applyBorder="1" applyAlignment="1" applyProtection="1">
      <alignment horizontal="center" vertical="center"/>
    </xf>
    <xf numFmtId="0" fontId="23" fillId="4" borderId="4" xfId="0" applyFont="1" applyFill="1" applyBorder="1" applyAlignment="1" applyProtection="1">
      <alignment horizontal="center" vertical="center"/>
    </xf>
    <xf numFmtId="0" fontId="23" fillId="4" borderId="5" xfId="0" applyFont="1" applyFill="1" applyBorder="1" applyAlignment="1" applyProtection="1">
      <alignment horizontal="center" vertical="center"/>
    </xf>
    <xf numFmtId="0" fontId="23" fillId="4" borderId="6" xfId="0" applyFont="1" applyFill="1" applyBorder="1" applyAlignment="1" applyProtection="1">
      <alignment horizontal="center" vertical="center"/>
    </xf>
    <xf numFmtId="0" fontId="23" fillId="4" borderId="7" xfId="0" applyFont="1" applyFill="1" applyBorder="1" applyAlignment="1" applyProtection="1">
      <alignment horizontal="center" vertical="center"/>
    </xf>
    <xf numFmtId="0" fontId="13" fillId="0" borderId="0" xfId="0" applyFont="1" applyAlignment="1"/>
    <xf numFmtId="0" fontId="15" fillId="0" borderId="0" xfId="0" applyFont="1" applyAlignment="1">
      <alignment horizontal="center"/>
    </xf>
    <xf numFmtId="180" fontId="17" fillId="0" borderId="0" xfId="0" applyNumberFormat="1" applyFont="1" applyAlignment="1">
      <alignment horizontal="center"/>
    </xf>
    <xf numFmtId="0" fontId="13" fillId="8" borderId="23" xfId="0" applyFont="1" applyFill="1" applyBorder="1" applyAlignment="1">
      <alignment wrapText="1"/>
    </xf>
    <xf numFmtId="0" fontId="12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wrapText="1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15">
    <dxf>
      <font>
        <color rgb="FF9C6500"/>
      </font>
      <fill>
        <patternFill patternType="solid">
          <bgColor rgb="FFFFEB9C"/>
        </patternFill>
      </fill>
    </dxf>
    <dxf>
      <font>
        <color rgb="FFE6D2EE"/>
      </font>
      <fill>
        <patternFill patternType="solid">
          <bgColor rgb="FFE6D2E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92D050"/>
        </patternFill>
      </fill>
    </dxf>
    <dxf>
      <font>
        <color auto="1"/>
      </font>
      <fill>
        <patternFill patternType="solid">
          <bgColor rgb="FFFE605C"/>
        </patternFill>
      </fill>
    </dxf>
    <dxf>
      <font>
        <color theme="0"/>
      </font>
    </dxf>
    <dxf>
      <font>
        <color auto="1"/>
      </font>
      <fill>
        <patternFill patternType="solid">
          <bgColor rgb="FFFFFF00"/>
        </patternFill>
      </fill>
    </dxf>
    <dxf>
      <font>
        <color auto="1"/>
      </font>
      <fill>
        <patternFill patternType="solid">
          <bgColor theme="9" tint="0.399945066682943"/>
        </patternFill>
      </fill>
    </dxf>
    <dxf>
      <font>
        <color theme="0"/>
      </font>
    </dxf>
    <dxf>
      <font>
        <color auto="1"/>
      </font>
      <fill>
        <patternFill patternType="solid">
          <bgColor theme="9"/>
        </patternFill>
      </fill>
    </dxf>
    <dxf>
      <fill>
        <patternFill patternType="solid">
          <bgColor rgb="FFFFFF00"/>
        </patternFill>
      </fill>
    </dxf>
    <dxf>
      <font>
        <color auto="1"/>
      </font>
      <fill>
        <patternFill patternType="none"/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9"/>
        </patternFill>
      </fill>
    </dxf>
  </dxfs>
  <tableStyles count="0" defaultTableStyle="TableStyleMedium2" defaultPivotStyle="PivotStyleLight16"/>
  <colors>
    <mruColors>
      <color rgb="0055276F"/>
      <color rgb="00CCA4DC"/>
      <color rgb="00FE605C"/>
      <color rgb="00FD4D4D"/>
      <color rgb="00E0C5F1"/>
      <color rgb="00E6D2EE"/>
      <color rgb="00A170D2"/>
      <color rgb="00D7C8E6"/>
      <color rgb="008444C4"/>
      <color rgb="00FF434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US" sz="2000" b="1">
                <a:latin typeface="Garamond" panose="02020404030301010803" pitchFamily="18" charset="0"/>
              </a:rPr>
              <a:t>Nanowrimo</a:t>
            </a:r>
            <a:r>
              <a:rPr lang="en-US" sz="2000" b="1" baseline="0">
                <a:latin typeface="Garamond" panose="02020404030301010803" pitchFamily="18" charset="0"/>
              </a:rPr>
              <a:t> Daily Word Count</a:t>
            </a:r>
            <a:endParaRPr lang="en-US" sz="2000" b="1">
              <a:latin typeface="Garamond" panose="02020404030301010803" pitchFamily="18" charset="0"/>
            </a:endParaRPr>
          </a:p>
        </c:rich>
      </c:tx>
      <c:layout>
        <c:manualLayout>
          <c:xMode val="edge"/>
          <c:yMode val="edge"/>
          <c:x val="0.373742200457118"/>
          <c:y val="0.037777764557212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6064615462686"/>
          <c:y val="0.100255848987087"/>
          <c:w val="0.840311287096502"/>
          <c:h val="0.8119464532049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A170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0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'Nanowrimo 2018'!$B$5:$B$34</c:f>
              <c:numCache>
                <c:formatCode>ddd\,\ mm/dd/yyyy</c:formatCode>
                <c:ptCount val="30"/>
                <c:pt idx="0" c:formatCode="ddd\,\ mm/dd/yyyy">
                  <c:v>43405</c:v>
                </c:pt>
                <c:pt idx="1" c:formatCode="ddd\,\ mm/dd/yyyy">
                  <c:v>43406</c:v>
                </c:pt>
                <c:pt idx="2" c:formatCode="ddd\,\ mm/dd/yyyy">
                  <c:v>43407</c:v>
                </c:pt>
                <c:pt idx="3" c:formatCode="ddd\,\ mm/dd/yyyy">
                  <c:v>43408</c:v>
                </c:pt>
                <c:pt idx="4" c:formatCode="ddd\,\ mm/dd/yyyy">
                  <c:v>43409</c:v>
                </c:pt>
                <c:pt idx="5" c:formatCode="ddd\,\ mm/dd/yyyy">
                  <c:v>43410</c:v>
                </c:pt>
                <c:pt idx="6" c:formatCode="ddd\,\ mm/dd/yyyy">
                  <c:v>43411</c:v>
                </c:pt>
                <c:pt idx="7" c:formatCode="ddd\,\ mm/dd/yyyy">
                  <c:v>43412</c:v>
                </c:pt>
                <c:pt idx="8" c:formatCode="ddd\,\ mm/dd/yyyy">
                  <c:v>43413</c:v>
                </c:pt>
                <c:pt idx="9" c:formatCode="ddd\,\ mm/dd/yyyy">
                  <c:v>43414</c:v>
                </c:pt>
                <c:pt idx="10" c:formatCode="ddd\,\ mm/dd/yyyy">
                  <c:v>43415</c:v>
                </c:pt>
                <c:pt idx="11" c:formatCode="ddd\,\ mm/dd/yyyy">
                  <c:v>43416</c:v>
                </c:pt>
                <c:pt idx="12" c:formatCode="ddd\,\ mm/dd/yyyy">
                  <c:v>43417</c:v>
                </c:pt>
                <c:pt idx="13" c:formatCode="ddd\,\ mm/dd/yyyy">
                  <c:v>43418</c:v>
                </c:pt>
                <c:pt idx="14" c:formatCode="ddd\,\ mm/dd/yyyy">
                  <c:v>43419</c:v>
                </c:pt>
                <c:pt idx="15" c:formatCode="ddd\,\ mm/dd/yyyy">
                  <c:v>43420</c:v>
                </c:pt>
                <c:pt idx="16" c:formatCode="ddd\,\ mm/dd/yyyy">
                  <c:v>43421</c:v>
                </c:pt>
                <c:pt idx="17" c:formatCode="ddd\,\ mm/dd/yyyy">
                  <c:v>43422</c:v>
                </c:pt>
                <c:pt idx="18" c:formatCode="ddd\,\ mm/dd/yyyy">
                  <c:v>43423</c:v>
                </c:pt>
                <c:pt idx="19" c:formatCode="ddd\,\ mm/dd/yyyy">
                  <c:v>43424</c:v>
                </c:pt>
                <c:pt idx="20" c:formatCode="ddd\,\ mm/dd/yyyy">
                  <c:v>43425</c:v>
                </c:pt>
                <c:pt idx="21" c:formatCode="ddd\,\ mm/dd/yyyy">
                  <c:v>43426</c:v>
                </c:pt>
                <c:pt idx="22" c:formatCode="ddd\,\ mm/dd/yyyy">
                  <c:v>43427</c:v>
                </c:pt>
                <c:pt idx="23" c:formatCode="ddd\,\ mm/dd/yyyy">
                  <c:v>43428</c:v>
                </c:pt>
                <c:pt idx="24" c:formatCode="ddd\,\ mm/dd/yyyy">
                  <c:v>43429</c:v>
                </c:pt>
                <c:pt idx="25" c:formatCode="ddd\,\ mm/dd/yyyy">
                  <c:v>43430</c:v>
                </c:pt>
                <c:pt idx="26" c:formatCode="ddd\,\ mm/dd/yyyy">
                  <c:v>43431</c:v>
                </c:pt>
                <c:pt idx="27" c:formatCode="ddd\,\ mm/dd/yyyy">
                  <c:v>43432</c:v>
                </c:pt>
                <c:pt idx="28" c:formatCode="ddd\,\ mm/dd/yyyy">
                  <c:v>43433</c:v>
                </c:pt>
                <c:pt idx="29" c:formatCode="ddd\,\ mm/dd/yyyy">
                  <c:v>43434</c:v>
                </c:pt>
              </c:numCache>
            </c:numRef>
          </c:cat>
          <c:val>
            <c:numRef>
              <c:f>'Nanowrimo 2018'!$H$5:$H$34</c:f>
              <c:numCache>
                <c:formatCode>#,##0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-222554768"/>
        <c:axId val="-222556400"/>
      </c:barChart>
      <c:dateAx>
        <c:axId val="-22255476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en-US" sz="1400" b="1">
                    <a:latin typeface="Garamond" panose="02020404030301010803" pitchFamily="18" charset="0"/>
                  </a:rPr>
                  <a:t>Date</a:t>
                </a:r>
                <a:endParaRPr lang="en-US" sz="1400" b="1">
                  <a:latin typeface="Garamond" panose="02020404030301010803" pitchFamily="18" charset="0"/>
                </a:endParaRPr>
              </a:p>
            </c:rich>
          </c:tx>
          <c:layout>
            <c:manualLayout>
              <c:xMode val="edge"/>
              <c:yMode val="edge"/>
              <c:x val="0.00483059752740593"/>
              <c:y val="0.5701982970033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d\,\ 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</a:p>
        </c:txPr>
        <c:crossAx val="-222556400"/>
        <c:crosses val="autoZero"/>
        <c:auto val="1"/>
        <c:lblOffset val="100"/>
        <c:baseTimeUnit val="days"/>
        <c:majorUnit val="1"/>
        <c:majorTimeUnit val="days"/>
      </c:dateAx>
      <c:valAx>
        <c:axId val="-222556400"/>
        <c:scaling>
          <c:orientation val="minMax"/>
          <c:max val="17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en-US" sz="1400" b="1">
                    <a:latin typeface="Garamond" panose="02020404030301010803" pitchFamily="18" charset="0"/>
                  </a:rPr>
                  <a:t>Words</a:t>
                </a:r>
                <a:r>
                  <a:rPr lang="en-US" sz="1400" b="1" baseline="0">
                    <a:latin typeface="Garamond" panose="02020404030301010803" pitchFamily="18" charset="0"/>
                  </a:rPr>
                  <a:t> Written</a:t>
                </a:r>
                <a:endParaRPr lang="en-US" sz="1400" b="1">
                  <a:latin typeface="Garamond" panose="02020404030301010803" pitchFamily="18" charset="0"/>
                </a:endParaRPr>
              </a:p>
            </c:rich>
          </c:tx>
          <c:layout>
            <c:manualLayout>
              <c:xMode val="edge"/>
              <c:yMode val="edge"/>
              <c:x val="0.517965733006146"/>
              <c:y val="0.9624365339820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</a:p>
        </c:txPr>
        <c:crossAx val="-22255476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Nanowrimo </a:t>
            </a:r>
            <a:r>
              <a:rPr lang="en-US" baseline="0"/>
              <a:t>Daily Word Count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'Nanowrimo 2019'!$B$4:$B$33</c:f>
              <c:numCache>
                <c:formatCode>ddd\,\ mm/dd/yyyy</c:formatCode>
                <c:ptCount val="30"/>
                <c:pt idx="0" c:formatCode="ddd\,\ mm/dd/yyyy">
                  <c:v>43770</c:v>
                </c:pt>
                <c:pt idx="1" c:formatCode="ddd\,\ mm/dd/yyyy">
                  <c:v>43771</c:v>
                </c:pt>
                <c:pt idx="2" c:formatCode="ddd\,\ mm/dd/yyyy">
                  <c:v>43772</c:v>
                </c:pt>
                <c:pt idx="3" c:formatCode="ddd\,\ mm/dd/yyyy">
                  <c:v>43773</c:v>
                </c:pt>
                <c:pt idx="4" c:formatCode="ddd\,\ mm/dd/yyyy">
                  <c:v>43774</c:v>
                </c:pt>
                <c:pt idx="5" c:formatCode="ddd\,\ mm/dd/yyyy">
                  <c:v>43775</c:v>
                </c:pt>
                <c:pt idx="6" c:formatCode="ddd\,\ mm/dd/yyyy">
                  <c:v>43776</c:v>
                </c:pt>
                <c:pt idx="7" c:formatCode="ddd\,\ mm/dd/yyyy">
                  <c:v>43777</c:v>
                </c:pt>
                <c:pt idx="8" c:formatCode="ddd\,\ mm/dd/yyyy">
                  <c:v>43778</c:v>
                </c:pt>
                <c:pt idx="9" c:formatCode="ddd\,\ mm/dd/yyyy">
                  <c:v>43779</c:v>
                </c:pt>
                <c:pt idx="10" c:formatCode="ddd\,\ mm/dd/yyyy">
                  <c:v>43780</c:v>
                </c:pt>
                <c:pt idx="11" c:formatCode="ddd\,\ mm/dd/yyyy">
                  <c:v>43781</c:v>
                </c:pt>
                <c:pt idx="12" c:formatCode="ddd\,\ mm/dd/yyyy">
                  <c:v>43782</c:v>
                </c:pt>
                <c:pt idx="13" c:formatCode="ddd\,\ mm/dd/yyyy">
                  <c:v>43783</c:v>
                </c:pt>
                <c:pt idx="14" c:formatCode="ddd\,\ mm/dd/yyyy">
                  <c:v>43784</c:v>
                </c:pt>
                <c:pt idx="15" c:formatCode="ddd\,\ mm/dd/yyyy">
                  <c:v>43785</c:v>
                </c:pt>
                <c:pt idx="16" c:formatCode="ddd\,\ mm/dd/yyyy">
                  <c:v>43786</c:v>
                </c:pt>
                <c:pt idx="17" c:formatCode="ddd\,\ mm/dd/yyyy">
                  <c:v>43787</c:v>
                </c:pt>
                <c:pt idx="18" c:formatCode="ddd\,\ mm/dd/yyyy">
                  <c:v>43788</c:v>
                </c:pt>
                <c:pt idx="19" c:formatCode="ddd\,\ mm/dd/yyyy">
                  <c:v>43789</c:v>
                </c:pt>
                <c:pt idx="20" c:formatCode="ddd\,\ mm/dd/yyyy">
                  <c:v>43790</c:v>
                </c:pt>
                <c:pt idx="21" c:formatCode="ddd\,\ mm/dd/yyyy">
                  <c:v>43791</c:v>
                </c:pt>
                <c:pt idx="22" c:formatCode="ddd\,\ mm/dd/yyyy">
                  <c:v>43792</c:v>
                </c:pt>
                <c:pt idx="23" c:formatCode="ddd\,\ mm/dd/yyyy">
                  <c:v>43793</c:v>
                </c:pt>
                <c:pt idx="24" c:formatCode="ddd\,\ mm/dd/yyyy">
                  <c:v>43794</c:v>
                </c:pt>
                <c:pt idx="25" c:formatCode="ddd\,\ mm/dd/yyyy">
                  <c:v>43795</c:v>
                </c:pt>
                <c:pt idx="26" c:formatCode="ddd\,\ mm/dd/yyyy">
                  <c:v>43796</c:v>
                </c:pt>
                <c:pt idx="27" c:formatCode="ddd\,\ mm/dd/yyyy">
                  <c:v>43797</c:v>
                </c:pt>
                <c:pt idx="28" c:formatCode="ddd\,\ mm/dd/yyyy">
                  <c:v>43798</c:v>
                </c:pt>
                <c:pt idx="29" c:formatCode="ddd\,\ mm/dd/yyyy">
                  <c:v>43799</c:v>
                </c:pt>
              </c:numCache>
            </c:numRef>
          </c:cat>
          <c:val>
            <c:numRef>
              <c:f>'Nanowrimo 2019'!$E$4:$E$33</c:f>
              <c:numCache>
                <c:formatCode>General</c:formatCode>
                <c:ptCount val="30"/>
                <c:pt idx="0">
                  <c:v>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axId val="-222561840"/>
        <c:axId val="-222548240"/>
      </c:barChart>
      <c:dateAx>
        <c:axId val="-22256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00770974997038019"/>
              <c:y val="0.45512635300752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d\,\ 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-222548240"/>
        <c:crosses val="autoZero"/>
        <c:auto val="1"/>
        <c:lblOffset val="100"/>
        <c:baseTimeUnit val="days"/>
        <c:majorUnit val="1"/>
        <c:majorTimeUnit val="days"/>
      </c:dateAx>
      <c:valAx>
        <c:axId val="-222548240"/>
        <c:scaling>
          <c:orientation val="minMax"/>
          <c:max val="17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Words</a:t>
                </a:r>
                <a:r>
                  <a:rPr lang="en-US" baseline="0"/>
                  <a:t> Written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-222561840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0</xdr:colOff>
      <xdr:row>40</xdr:row>
      <xdr:rowOff>24130</xdr:rowOff>
    </xdr:from>
    <xdr:to>
      <xdr:col>14</xdr:col>
      <xdr:colOff>1579245</xdr:colOff>
      <xdr:row>85</xdr:row>
      <xdr:rowOff>130175</xdr:rowOff>
    </xdr:to>
    <xdr:graphicFrame>
      <xdr:nvGraphicFramePr>
        <xdr:cNvPr id="9" name="Chart 8" descr="Chart that displays dates 11/1/17 through 11/30/17, in descending order, on the left side. Axis title is Date. When dates are changed by the user, the chart's dates will automatically change.&#10;&#10;At the bottom, this chart shows the words written in a horizontal axis, with gridlines every 100 words. The range is 0 to 1700 words. Axis title is Words Written.&#10;&#10;A horizontal bar chart will populate when the user enters their new word count into column E.&#10;&#10;Thank you for downloading Track My Nano!" title="Nanowrimo Daily Word Count"/>
        <xdr:cNvGraphicFramePr/>
      </xdr:nvGraphicFramePr>
      <xdr:xfrm>
        <a:off x="88900" y="9739630"/>
        <a:ext cx="11758295" cy="84880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95885</xdr:colOff>
      <xdr:row>12</xdr:row>
      <xdr:rowOff>196533</xdr:rowOff>
    </xdr:from>
    <xdr:to>
      <xdr:col>21</xdr:col>
      <xdr:colOff>1181099</xdr:colOff>
      <xdr:row>14</xdr:row>
      <xdr:rowOff>201706</xdr:rowOff>
    </xdr:to>
    <xdr:grpSp>
      <xdr:nvGrpSpPr>
        <xdr:cNvPr id="4" name="Group 3"/>
        <xdr:cNvGrpSpPr/>
      </xdr:nvGrpSpPr>
      <xdr:grpSpPr>
        <a:xfrm>
          <a:off x="14526260" y="4320540"/>
          <a:ext cx="1180465" cy="405130"/>
          <a:chOff x="17386358" y="4611651"/>
          <a:chExt cx="789583" cy="333590"/>
        </a:xfrm>
      </xdr:grpSpPr>
      <xdr:sp macro="[0]!Clearcells">
        <xdr:nvSpPr>
          <xdr:cNvPr id="21" name="Rectangle 20"/>
          <xdr:cNvSpPr/>
        </xdr:nvSpPr>
        <xdr:spPr>
          <a:xfrm>
            <a:off x="17386358" y="4611651"/>
            <a:ext cx="789583" cy="333590"/>
          </a:xfrm>
          <a:prstGeom prst="rect">
            <a:avLst/>
          </a:prstGeom>
          <a:solidFill>
            <a:srgbClr val="E6D2EE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hisWorkbook.Clearcells">
        <xdr:nvSpPr>
          <xdr:cNvPr id="22" name="TextBox 21"/>
          <xdr:cNvSpPr txBox="1"/>
        </xdr:nvSpPr>
        <xdr:spPr>
          <a:xfrm>
            <a:off x="17499384" y="4653650"/>
            <a:ext cx="631990" cy="253067"/>
          </a:xfrm>
          <a:prstGeom prst="rect">
            <a:avLst/>
          </a:prstGeom>
          <a:solidFill>
            <a:srgbClr val="E6D2EE"/>
          </a:solidFill>
          <a:ln w="9525" cmpd="sng">
            <a:solidFill>
              <a:srgbClr val="E6D2EE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0"/>
              <a:t>CLEAR</a:t>
            </a:r>
            <a:r>
              <a:rPr lang="en-US" sz="1400" b="0" baseline="0"/>
              <a:t> ALL</a:t>
            </a:r>
            <a:endParaRPr lang="en-US" sz="1400" b="0" baseline="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37</xdr:row>
          <xdr:rowOff>45720</xdr:rowOff>
        </xdr:from>
        <xdr:to>
          <xdr:col>18</xdr:col>
          <xdr:colOff>792480</xdr:colOff>
          <xdr:row>38</xdr:row>
          <xdr:rowOff>152400</xdr:rowOff>
        </xdr:to>
        <xdr:sp>
          <xdr:nvSpPr>
            <xdr:cNvPr id="1026" name="Star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1971020" y="9189720"/>
              <a:ext cx="746760" cy="2971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</xdr:colOff>
          <xdr:row>37</xdr:row>
          <xdr:rowOff>45720</xdr:rowOff>
        </xdr:from>
        <xdr:to>
          <xdr:col>19</xdr:col>
          <xdr:colOff>800100</xdr:colOff>
          <xdr:row>38</xdr:row>
          <xdr:rowOff>160020</xdr:rowOff>
        </xdr:to>
        <xdr:sp>
          <xdr:nvSpPr>
            <xdr:cNvPr id="1027" name="Stop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2891135" y="9189720"/>
              <a:ext cx="739140" cy="30480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68035</xdr:colOff>
      <xdr:row>32</xdr:row>
      <xdr:rowOff>174172</xdr:rowOff>
    </xdr:from>
    <xdr:to>
      <xdr:col>19</xdr:col>
      <xdr:colOff>830035</xdr:colOff>
      <xdr:row>36</xdr:row>
      <xdr:rowOff>55789</xdr:rowOff>
    </xdr:to>
    <xdr:sp textlink="$S$32">
      <xdr:nvSpPr>
        <xdr:cNvPr id="2" name="TextBox 1"/>
        <xdr:cNvSpPr txBox="1"/>
      </xdr:nvSpPr>
      <xdr:spPr>
        <a:xfrm>
          <a:off x="11993245" y="8308340"/>
          <a:ext cx="1666875" cy="7004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F4ACA28-9692-4135-BDDD-B6AAAC077573}" type="TxLink">
            <a:rPr lang="en-US" sz="4000" b="0" i="0" u="none" strike="noStrike">
              <a:solidFill>
                <a:srgbClr val="000000"/>
              </a:solidFill>
              <a:latin typeface="Garamond" panose="02020404030301010803" pitchFamily="18" charset="0"/>
              <a:cs typeface="Calibri" panose="020F0502020204030204"/>
            </a:rPr>
          </a:fld>
          <a:endParaRPr lang="en-US" sz="4000" b="0" i="0" u="none" strike="noStrike">
            <a:solidFill>
              <a:srgbClr val="000000"/>
            </a:solidFill>
            <a:latin typeface="Garamond" panose="02020404030301010803" pitchFamily="18" charset="0"/>
            <a:cs typeface="Calibri" panose="020F0502020204030204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73270</xdr:colOff>
      <xdr:row>10</xdr:row>
      <xdr:rowOff>73269</xdr:rowOff>
    </xdr:from>
    <xdr:to>
      <xdr:col>14</xdr:col>
      <xdr:colOff>249115</xdr:colOff>
      <xdr:row>12</xdr:row>
      <xdr:rowOff>14653</xdr:rowOff>
    </xdr:to>
    <xdr:grpSp>
      <xdr:nvGrpSpPr>
        <xdr:cNvPr id="5" name="Group 4"/>
        <xdr:cNvGrpSpPr/>
      </xdr:nvGrpSpPr>
      <xdr:grpSpPr>
        <a:xfrm>
          <a:off x="11656695" y="2606675"/>
          <a:ext cx="782955" cy="322580"/>
          <a:chOff x="11232174" y="4528039"/>
          <a:chExt cx="805962" cy="424962"/>
        </a:xfrm>
      </xdr:grpSpPr>
      <xdr:sp macro="[0]!Clearcells">
        <xdr:nvSpPr>
          <xdr:cNvPr id="6" name="Rectangle 5"/>
          <xdr:cNvSpPr/>
        </xdr:nvSpPr>
        <xdr:spPr>
          <a:xfrm>
            <a:off x="11232174" y="4528039"/>
            <a:ext cx="805962" cy="424962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cells">
        <xdr:nvSpPr>
          <xdr:cNvPr id="7" name="TextBox 6"/>
          <xdr:cNvSpPr txBox="1"/>
        </xdr:nvSpPr>
        <xdr:spPr>
          <a:xfrm>
            <a:off x="11281612" y="4586653"/>
            <a:ext cx="741458" cy="322383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9525" cmpd="sng"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00"/>
              <a:t>CLEAR</a:t>
            </a:r>
            <a:r>
              <a:rPr lang="en-US" sz="1000" baseline="0"/>
              <a:t> ALL</a:t>
            </a:r>
            <a:endParaRPr lang="en-US" sz="1000" baseline="0"/>
          </a:p>
        </xdr:txBody>
      </xdr:sp>
    </xdr:grpSp>
    <xdr:clientData/>
  </xdr:twoCellAnchor>
  <xdr:twoCellAnchor>
    <xdr:from>
      <xdr:col>1</xdr:col>
      <xdr:colOff>0</xdr:colOff>
      <xdr:row>34</xdr:row>
      <xdr:rowOff>186018</xdr:rowOff>
    </xdr:from>
    <xdr:to>
      <xdr:col>9</xdr:col>
      <xdr:colOff>1229360</xdr:colOff>
      <xdr:row>64</xdr:row>
      <xdr:rowOff>38100</xdr:rowOff>
    </xdr:to>
    <xdr:graphicFrame>
      <xdr:nvGraphicFramePr>
        <xdr:cNvPr id="9" name="Chart 8"/>
        <xdr:cNvGraphicFramePr/>
      </xdr:nvGraphicFramePr>
      <xdr:xfrm>
        <a:off x="29210" y="7338695"/>
        <a:ext cx="9590405" cy="5567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7030A0"/>
  </sheetPr>
  <dimension ref="A1:AE3898"/>
  <sheetViews>
    <sheetView zoomScale="70" zoomScaleNormal="70" workbookViewId="0">
      <selection activeCell="E11" sqref="E11"/>
    </sheetView>
  </sheetViews>
  <sheetFormatPr defaultColWidth="9.1047619047619" defaultRowHeight="14.25"/>
  <cols>
    <col min="1" max="1" width="1.33333333333333" style="41" customWidth="1"/>
    <col min="2" max="2" width="18.8571428571429" style="42" customWidth="1"/>
    <col min="3" max="3" width="15.1428571428571" style="43" customWidth="1"/>
    <col min="4" max="4" width="1.1047619047619" style="44" customWidth="1"/>
    <col min="5" max="5" width="18" style="44" customWidth="1"/>
    <col min="6" max="6" width="14.8571428571429" style="44" customWidth="1"/>
    <col min="7" max="7" width="1.1047619047619" style="44" customWidth="1"/>
    <col min="8" max="8" width="11.8571428571429" style="44" customWidth="1"/>
    <col min="9" max="9" width="18" style="44" customWidth="1"/>
    <col min="10" max="10" width="1" style="45" customWidth="1"/>
    <col min="11" max="11" width="16" style="44" customWidth="1"/>
    <col min="12" max="12" width="17" style="44" customWidth="1"/>
    <col min="13" max="13" width="18.8571428571429" style="44" customWidth="1"/>
    <col min="14" max="14" width="0.885714285714286" style="44" customWidth="1"/>
    <col min="15" max="15" width="23.7142857142857" style="46" customWidth="1"/>
    <col min="16" max="16" width="2.55238095238095" style="46" hidden="1" customWidth="1"/>
    <col min="17" max="17" width="2.43809523809524" style="46" hidden="1" customWidth="1"/>
    <col min="18" max="18" width="1.14285714285714" style="41" customWidth="1"/>
    <col min="19" max="19" width="13.5714285714286" style="41" customWidth="1"/>
    <col min="20" max="20" width="24" style="41" customWidth="1"/>
    <col min="21" max="21" width="1.43809523809524" style="47" customWidth="1"/>
    <col min="22" max="22" width="25.2857142857143" style="41" customWidth="1"/>
    <col min="23" max="23" width="0.333333333333333" style="41" customWidth="1"/>
    <col min="24" max="25" width="10.6666666666667" style="41" customWidth="1"/>
    <col min="26" max="26" width="10.6666666666667" style="46" customWidth="1"/>
    <col min="27" max="37" width="10.6666666666667" style="41" customWidth="1"/>
    <col min="38" max="38" width="7.33333333333333" style="41" customWidth="1"/>
    <col min="39" max="39" width="11.3333333333333" style="41" customWidth="1"/>
    <col min="40" max="16384" width="9.1047619047619" style="41"/>
  </cols>
  <sheetData>
    <row r="1" ht="62.25" spans="1:25">
      <c r="A1" s="47"/>
      <c r="B1" s="48" t="s">
        <v>0</v>
      </c>
      <c r="C1" s="49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76"/>
      <c r="Q1" s="76"/>
      <c r="R1" s="101"/>
      <c r="S1" s="102">
        <f ca="1">NOW()</f>
        <v>43513.4678819444</v>
      </c>
      <c r="T1" s="102"/>
      <c r="U1" s="103"/>
      <c r="V1" s="102">
        <f ca="1">NOW()</f>
        <v>43513.4678819444</v>
      </c>
      <c r="W1" s="104"/>
      <c r="X1" s="104"/>
      <c r="Y1" s="104"/>
    </row>
    <row r="2" s="40" customFormat="1" ht="15" spans="1:26">
      <c r="A2" s="47"/>
      <c r="B2" s="50"/>
      <c r="C2" s="51"/>
      <c r="D2" s="52"/>
      <c r="E2" s="53"/>
      <c r="F2" s="53"/>
      <c r="G2" s="52"/>
      <c r="H2" s="54"/>
      <c r="I2" s="54"/>
      <c r="J2" s="52"/>
      <c r="K2" s="50"/>
      <c r="L2" s="50"/>
      <c r="M2" s="50"/>
      <c r="N2" s="52"/>
      <c r="O2" s="77"/>
      <c r="P2" s="77"/>
      <c r="Q2" s="77"/>
      <c r="R2" s="105"/>
      <c r="S2" s="50"/>
      <c r="T2" s="50"/>
      <c r="U2" s="103"/>
      <c r="V2" s="106"/>
      <c r="W2" s="104"/>
      <c r="X2" s="104"/>
      <c r="Y2" s="104"/>
      <c r="Z2" s="139"/>
    </row>
    <row r="3" ht="59" customHeight="1" spans="2:25">
      <c r="B3" s="55" t="s">
        <v>1</v>
      </c>
      <c r="C3" s="55" t="s">
        <v>2</v>
      </c>
      <c r="D3" s="56"/>
      <c r="E3" s="57" t="s">
        <v>3</v>
      </c>
      <c r="F3" s="57" t="s">
        <v>4</v>
      </c>
      <c r="G3" s="56"/>
      <c r="H3" s="57" t="s">
        <v>5</v>
      </c>
      <c r="I3" s="57" t="s">
        <v>6</v>
      </c>
      <c r="J3" s="78"/>
      <c r="K3" s="57" t="s">
        <v>7</v>
      </c>
      <c r="L3" s="57" t="s">
        <v>8</v>
      </c>
      <c r="M3" s="57" t="s">
        <v>9</v>
      </c>
      <c r="N3" s="56"/>
      <c r="O3" s="79" t="s">
        <v>10</v>
      </c>
      <c r="P3" s="80"/>
      <c r="Q3" s="107"/>
      <c r="R3" s="82"/>
      <c r="S3" s="108" t="s">
        <v>11</v>
      </c>
      <c r="T3" s="109"/>
      <c r="U3" s="103"/>
      <c r="V3" s="110">
        <v>1667</v>
      </c>
      <c r="W3" s="47"/>
      <c r="X3" s="47"/>
      <c r="Y3" s="47"/>
    </row>
    <row r="4" ht="20.25" spans="2:25">
      <c r="B4" s="58"/>
      <c r="C4" s="59"/>
      <c r="D4" s="56"/>
      <c r="E4" s="60"/>
      <c r="F4" s="60"/>
      <c r="G4" s="56"/>
      <c r="H4" s="61"/>
      <c r="I4" s="61"/>
      <c r="J4" s="81"/>
      <c r="K4" s="60"/>
      <c r="L4" s="60"/>
      <c r="M4" s="60"/>
      <c r="N4" s="56"/>
      <c r="O4" s="82"/>
      <c r="P4" s="82"/>
      <c r="Q4" s="82"/>
      <c r="R4" s="82"/>
      <c r="S4" s="47"/>
      <c r="T4" s="47"/>
      <c r="U4" s="103"/>
      <c r="V4" s="47"/>
      <c r="W4" s="47"/>
      <c r="X4" s="47"/>
      <c r="Y4" s="47"/>
    </row>
    <row r="5" ht="31" customHeight="1" spans="2:25">
      <c r="B5" s="62">
        <v>43405</v>
      </c>
      <c r="C5" s="63">
        <v>1667</v>
      </c>
      <c r="D5" s="56"/>
      <c r="E5" s="64">
        <v>0</v>
      </c>
      <c r="F5" s="65"/>
      <c r="G5" s="56"/>
      <c r="H5" s="64">
        <f>IF(SUM(F5-E5)&lt;=0,0,F5-E5)</f>
        <v>0</v>
      </c>
      <c r="I5" s="83">
        <f>IF(SUM($V$3-H5)&lt;=0,"NONE",SUM($V$3-H5))</f>
        <v>1667</v>
      </c>
      <c r="J5" s="81"/>
      <c r="K5" s="84" t="e">
        <f>SUM($H$5:$H$34)</f>
        <v>#VALUE!</v>
      </c>
      <c r="L5" s="85" t="e">
        <f>IF(M5-K5&lt;=0,"NANO WINNER!",SUM(M5-K5))</f>
        <v>#VALUE!</v>
      </c>
      <c r="M5" s="86">
        <v>50000</v>
      </c>
      <c r="N5" s="56"/>
      <c r="O5" s="87" t="s">
        <v>12</v>
      </c>
      <c r="P5" s="88"/>
      <c r="Q5" s="111"/>
      <c r="R5" s="112"/>
      <c r="S5" s="113" t="s">
        <v>13</v>
      </c>
      <c r="T5" s="114"/>
      <c r="U5" s="103"/>
      <c r="V5" s="47"/>
      <c r="W5" s="47"/>
      <c r="X5" s="47"/>
      <c r="Y5" s="47"/>
    </row>
    <row r="6" ht="15" spans="2:31">
      <c r="B6" s="62">
        <v>43406</v>
      </c>
      <c r="C6" s="63">
        <v>3334</v>
      </c>
      <c r="D6" s="56"/>
      <c r="E6" s="66" t="s">
        <v>14</v>
      </c>
      <c r="F6" s="67">
        <v>3334</v>
      </c>
      <c r="G6" s="56"/>
      <c r="H6" s="68" t="e">
        <f>IF(SUM(F6-E6)&lt;=0,0,F6-E6)</f>
        <v>#VALUE!</v>
      </c>
      <c r="I6" s="89" t="e">
        <f t="shared" ref="I6:I34" si="0">IF(SUM($V$3-H6)&lt;=0,"NONE",SUM($V$3-H6))</f>
        <v>#VALUE!</v>
      </c>
      <c r="J6" s="81"/>
      <c r="K6" s="90"/>
      <c r="L6" s="73"/>
      <c r="M6" s="91"/>
      <c r="N6" s="56"/>
      <c r="O6" s="92" t="s">
        <v>15</v>
      </c>
      <c r="P6" s="93"/>
      <c r="Q6" s="115"/>
      <c r="R6" s="112"/>
      <c r="S6" s="116" t="s">
        <v>16</v>
      </c>
      <c r="T6" s="117">
        <v>90</v>
      </c>
      <c r="U6" s="103"/>
      <c r="V6" s="104"/>
      <c r="W6" s="47"/>
      <c r="X6" s="47"/>
      <c r="Y6" s="47"/>
      <c r="Z6" s="140"/>
      <c r="AA6" s="47"/>
      <c r="AB6" s="47"/>
      <c r="AC6" s="47"/>
      <c r="AD6" s="47"/>
      <c r="AE6" s="47"/>
    </row>
    <row r="7" ht="28.5" spans="2:31">
      <c r="B7" s="62">
        <v>43407</v>
      </c>
      <c r="C7" s="63">
        <v>5001</v>
      </c>
      <c r="D7" s="56"/>
      <c r="E7" s="66">
        <f>(F7&lt;&gt;0)*IF(F6&lt;=0,LOOKUP(2,1/($F$5:$F6&lt;&gt;0),$F$5:$F6),F6)</f>
        <v>0</v>
      </c>
      <c r="F7" s="67"/>
      <c r="G7" s="56"/>
      <c r="H7" s="68">
        <f>IF(SUM(F7-E7)&lt;=0,0,F7-E7)</f>
        <v>0</v>
      </c>
      <c r="I7" s="89">
        <f t="shared" si="0"/>
        <v>1667</v>
      </c>
      <c r="J7" s="81"/>
      <c r="K7" s="90">
        <f>(F6&lt;&gt;0)*IF(F5&lt;=0,F5,F5)</f>
        <v>0</v>
      </c>
      <c r="L7" s="73"/>
      <c r="M7" s="91"/>
      <c r="N7" s="56"/>
      <c r="O7" s="92" t="s">
        <v>17</v>
      </c>
      <c r="P7" s="93"/>
      <c r="Q7" s="115"/>
      <c r="R7" s="112"/>
      <c r="S7" s="118" t="s">
        <v>18</v>
      </c>
      <c r="T7" s="119">
        <v>78</v>
      </c>
      <c r="U7" s="103"/>
      <c r="V7" s="104"/>
      <c r="W7" s="47"/>
      <c r="X7" s="47"/>
      <c r="Y7" s="47"/>
      <c r="Z7" s="140"/>
      <c r="AA7" s="47"/>
      <c r="AB7" s="47"/>
      <c r="AC7" s="47"/>
      <c r="AD7" s="47"/>
      <c r="AE7" s="47"/>
    </row>
    <row r="8" ht="15.75" spans="2:31">
      <c r="B8" s="62">
        <v>43408</v>
      </c>
      <c r="C8" s="63">
        <v>6668</v>
      </c>
      <c r="D8" s="56"/>
      <c r="E8" s="66">
        <f>(F8&lt;&gt;0)*IF(F7&lt;=0,LOOKUP(2,1/($F$5:$F7&lt;&gt;0),$F$5:$F7),F7)</f>
        <v>0</v>
      </c>
      <c r="F8" s="67"/>
      <c r="G8" s="56"/>
      <c r="H8" s="68">
        <f t="shared" ref="H8:H34" si="1">IF(SUM(F8-E8)&lt;=0,0,F8-E8)</f>
        <v>0</v>
      </c>
      <c r="I8" s="89">
        <f t="shared" si="0"/>
        <v>1667</v>
      </c>
      <c r="J8" s="81"/>
      <c r="K8" s="90"/>
      <c r="L8" s="73"/>
      <c r="M8" s="91"/>
      <c r="N8" s="56"/>
      <c r="O8" s="92" t="s">
        <v>19</v>
      </c>
      <c r="P8" s="93"/>
      <c r="Q8" s="115"/>
      <c r="R8" s="112"/>
      <c r="S8" s="120" t="s">
        <v>20</v>
      </c>
      <c r="T8" s="121">
        <f>SUM(T6,T7)</f>
        <v>168</v>
      </c>
      <c r="U8" s="103"/>
      <c r="V8" s="104"/>
      <c r="W8" s="104"/>
      <c r="X8" s="47"/>
      <c r="Y8" s="47"/>
      <c r="Z8" s="140"/>
      <c r="AA8" s="47"/>
      <c r="AB8" s="47"/>
      <c r="AC8" s="47"/>
      <c r="AD8" s="47"/>
      <c r="AE8" s="47"/>
    </row>
    <row r="9" ht="29.25" spans="2:31">
      <c r="B9" s="62">
        <v>43409</v>
      </c>
      <c r="C9" s="63">
        <v>8335</v>
      </c>
      <c r="D9" s="56"/>
      <c r="E9" s="66">
        <f>(F9&lt;&gt;0)*IF(F8&lt;=0,LOOKUP(2,1/($F$5:$F8&lt;&gt;0),$F$5:$F8),F8)</f>
        <v>0</v>
      </c>
      <c r="F9" s="67"/>
      <c r="G9" s="56"/>
      <c r="H9" s="68">
        <f t="shared" si="1"/>
        <v>0</v>
      </c>
      <c r="I9" s="89">
        <f t="shared" si="0"/>
        <v>1667</v>
      </c>
      <c r="J9" s="81"/>
      <c r="K9" s="90" t="s">
        <v>21</v>
      </c>
      <c r="L9" s="73"/>
      <c r="M9" s="91"/>
      <c r="N9" s="56"/>
      <c r="O9" s="92" t="s">
        <v>22</v>
      </c>
      <c r="P9" s="93"/>
      <c r="Q9" s="115"/>
      <c r="R9" s="112"/>
      <c r="S9" s="47"/>
      <c r="T9" s="47"/>
      <c r="U9" s="103"/>
      <c r="V9" s="104"/>
      <c r="W9" s="104"/>
      <c r="X9" s="47"/>
      <c r="Y9" s="47"/>
      <c r="Z9" s="140"/>
      <c r="AA9" s="47"/>
      <c r="AB9" s="47"/>
      <c r="AC9" s="47"/>
      <c r="AD9" s="47"/>
      <c r="AE9" s="47"/>
    </row>
    <row r="10" ht="18.75" spans="2:31">
      <c r="B10" s="62">
        <v>43410</v>
      </c>
      <c r="C10" s="63">
        <v>10002</v>
      </c>
      <c r="D10" s="56"/>
      <c r="E10" s="66">
        <f>(F10&lt;&gt;0)*IF(F9&lt;=0,LOOKUP(2,1/($F$5:$F9&lt;&gt;0),$F$5:$F9),F9)</f>
        <v>0</v>
      </c>
      <c r="F10" s="67"/>
      <c r="G10" s="56"/>
      <c r="H10" s="68">
        <f t="shared" si="1"/>
        <v>0</v>
      </c>
      <c r="I10" s="89">
        <f t="shared" si="0"/>
        <v>1667</v>
      </c>
      <c r="J10" s="81"/>
      <c r="K10" s="90"/>
      <c r="L10" s="73"/>
      <c r="M10" s="91"/>
      <c r="N10" s="56"/>
      <c r="O10" s="92"/>
      <c r="P10" s="93"/>
      <c r="Q10" s="115"/>
      <c r="R10" s="112"/>
      <c r="S10" s="122" t="s">
        <v>23</v>
      </c>
      <c r="T10" s="123"/>
      <c r="U10" s="103"/>
      <c r="V10" s="104"/>
      <c r="W10" s="104"/>
      <c r="X10" s="47"/>
      <c r="Y10" s="47"/>
      <c r="Z10" s="140"/>
      <c r="AA10" s="47"/>
      <c r="AB10" s="47"/>
      <c r="AC10" s="47"/>
      <c r="AD10" s="47"/>
      <c r="AE10" s="47"/>
    </row>
    <row r="11" ht="15" spans="2:31">
      <c r="B11" s="62">
        <v>43411</v>
      </c>
      <c r="C11" s="63">
        <v>11669</v>
      </c>
      <c r="D11" s="56"/>
      <c r="E11" s="66">
        <f>(F11&lt;&gt;0)*IF(F10&lt;=0,LOOKUP(2,1/($F$5:$F10&lt;&gt;0),$F$5:$F10),F10)</f>
        <v>0</v>
      </c>
      <c r="F11" s="67"/>
      <c r="G11" s="56"/>
      <c r="H11" s="68">
        <f t="shared" si="1"/>
        <v>0</v>
      </c>
      <c r="I11" s="89">
        <f t="shared" si="0"/>
        <v>1667</v>
      </c>
      <c r="J11" s="81"/>
      <c r="K11" s="90"/>
      <c r="L11" s="73"/>
      <c r="M11" s="91"/>
      <c r="N11" s="56"/>
      <c r="O11" s="92"/>
      <c r="P11" s="93"/>
      <c r="Q11" s="115"/>
      <c r="R11" s="112"/>
      <c r="S11" s="116" t="s">
        <v>16</v>
      </c>
      <c r="T11" s="117"/>
      <c r="U11" s="103"/>
      <c r="V11" s="104"/>
      <c r="W11" s="104"/>
      <c r="X11" s="47"/>
      <c r="Y11" s="47"/>
      <c r="Z11" s="140"/>
      <c r="AA11" s="47"/>
      <c r="AB11" s="47"/>
      <c r="AC11" s="47"/>
      <c r="AD11" s="47"/>
      <c r="AE11" s="47"/>
    </row>
    <row r="12" ht="15" spans="2:31">
      <c r="B12" s="62">
        <v>43412</v>
      </c>
      <c r="C12" s="63">
        <v>13336</v>
      </c>
      <c r="D12" s="56"/>
      <c r="E12" s="66">
        <f>(F12&lt;&gt;0)*IF(F11&lt;=0,LOOKUP(2,1/($F$5:$F11&lt;&gt;0),$F$5:$F11),F11)</f>
        <v>0</v>
      </c>
      <c r="F12" s="67"/>
      <c r="G12" s="56"/>
      <c r="H12" s="68">
        <f t="shared" si="1"/>
        <v>0</v>
      </c>
      <c r="I12" s="89">
        <f t="shared" si="0"/>
        <v>1667</v>
      </c>
      <c r="J12" s="81"/>
      <c r="K12" s="90"/>
      <c r="L12" s="73"/>
      <c r="M12" s="91"/>
      <c r="N12" s="56"/>
      <c r="O12" s="92"/>
      <c r="P12" s="93"/>
      <c r="Q12" s="115"/>
      <c r="R12" s="112"/>
      <c r="S12" s="118" t="s">
        <v>18</v>
      </c>
      <c r="T12" s="119"/>
      <c r="U12" s="103"/>
      <c r="V12" s="104"/>
      <c r="W12" s="104"/>
      <c r="X12" s="47"/>
      <c r="Y12" s="47"/>
      <c r="Z12" s="140"/>
      <c r="AA12" s="47"/>
      <c r="AB12" s="47"/>
      <c r="AC12" s="47"/>
      <c r="AD12" s="47"/>
      <c r="AE12" s="47"/>
    </row>
    <row r="13" ht="15.75" spans="2:31">
      <c r="B13" s="62">
        <v>43413</v>
      </c>
      <c r="C13" s="63">
        <v>15003</v>
      </c>
      <c r="D13" s="56"/>
      <c r="E13" s="66">
        <f>(F13&lt;&gt;0)*IF(F12&lt;=0,LOOKUP(2,1/($F$5:$F12&lt;&gt;0),$F$5:$F12),F12)</f>
        <v>0</v>
      </c>
      <c r="F13" s="67"/>
      <c r="G13" s="56"/>
      <c r="H13" s="68">
        <f t="shared" si="1"/>
        <v>0</v>
      </c>
      <c r="I13" s="89">
        <f t="shared" si="0"/>
        <v>1667</v>
      </c>
      <c r="J13" s="81"/>
      <c r="K13" s="90"/>
      <c r="L13" s="73"/>
      <c r="M13" s="91"/>
      <c r="N13" s="56"/>
      <c r="O13" s="92"/>
      <c r="P13" s="93"/>
      <c r="Q13" s="115"/>
      <c r="R13" s="112"/>
      <c r="S13" s="120" t="s">
        <v>20</v>
      </c>
      <c r="T13" s="121">
        <f>SUM(T11-T12)</f>
        <v>0</v>
      </c>
      <c r="U13" s="103"/>
      <c r="V13" s="104"/>
      <c r="W13" s="104"/>
      <c r="X13" s="47"/>
      <c r="Y13" s="47"/>
      <c r="Z13" s="140"/>
      <c r="AA13" s="47"/>
      <c r="AB13" s="47"/>
      <c r="AC13" s="47"/>
      <c r="AD13" s="47"/>
      <c r="AE13" s="47"/>
    </row>
    <row r="14" ht="15.75" spans="2:31">
      <c r="B14" s="62">
        <v>43414</v>
      </c>
      <c r="C14" s="63">
        <v>16670</v>
      </c>
      <c r="D14" s="56"/>
      <c r="E14" s="66">
        <f>(F14&lt;&gt;0)*IF(F13&lt;=0,LOOKUP(2,1/($F$5:$F13&lt;&gt;0),$F$5:$F13),F13)</f>
        <v>0</v>
      </c>
      <c r="F14" s="67"/>
      <c r="G14" s="56"/>
      <c r="H14" s="68">
        <f t="shared" si="1"/>
        <v>0</v>
      </c>
      <c r="I14" s="89">
        <f t="shared" si="0"/>
        <v>1667</v>
      </c>
      <c r="J14" s="81"/>
      <c r="K14" s="90"/>
      <c r="L14" s="73"/>
      <c r="M14" s="91"/>
      <c r="N14" s="56"/>
      <c r="O14" s="92"/>
      <c r="P14" s="93"/>
      <c r="Q14" s="115"/>
      <c r="R14" s="112"/>
      <c r="S14" s="47"/>
      <c r="T14" s="47"/>
      <c r="U14" s="103"/>
      <c r="V14" s="104"/>
      <c r="W14" s="104"/>
      <c r="X14" s="47"/>
      <c r="Y14" s="47"/>
      <c r="Z14" s="140"/>
      <c r="AA14" s="47"/>
      <c r="AB14" s="47"/>
      <c r="AC14" s="47"/>
      <c r="AD14" s="47"/>
      <c r="AE14" s="47"/>
    </row>
    <row r="15" ht="18.75" spans="2:31">
      <c r="B15" s="62">
        <v>43415</v>
      </c>
      <c r="C15" s="63">
        <v>18337</v>
      </c>
      <c r="D15" s="56"/>
      <c r="E15" s="66">
        <f>(F15&lt;&gt;0)*IF(F14&lt;=0,LOOKUP(2,1/($F$5:$F14&lt;&gt;0),$F$5:$F14),F14)</f>
        <v>0</v>
      </c>
      <c r="F15" s="67"/>
      <c r="G15" s="56"/>
      <c r="H15" s="68">
        <f t="shared" si="1"/>
        <v>0</v>
      </c>
      <c r="I15" s="89">
        <f t="shared" si="0"/>
        <v>1667</v>
      </c>
      <c r="J15" s="81"/>
      <c r="K15" s="90"/>
      <c r="L15" s="73"/>
      <c r="M15" s="91"/>
      <c r="N15" s="56"/>
      <c r="O15" s="92"/>
      <c r="P15" s="93"/>
      <c r="Q15" s="115"/>
      <c r="R15" s="112"/>
      <c r="S15" s="124" t="s">
        <v>24</v>
      </c>
      <c r="T15" s="123"/>
      <c r="U15" s="103"/>
      <c r="V15" s="104"/>
      <c r="W15" s="104"/>
      <c r="X15" s="47"/>
      <c r="Y15" s="47"/>
      <c r="Z15" s="140"/>
      <c r="AA15" s="47"/>
      <c r="AB15" s="47"/>
      <c r="AC15" s="47"/>
      <c r="AD15" s="47"/>
      <c r="AE15" s="47"/>
    </row>
    <row r="16" ht="15" spans="2:31">
      <c r="B16" s="62">
        <v>43416</v>
      </c>
      <c r="C16" s="63">
        <v>20004</v>
      </c>
      <c r="D16" s="56"/>
      <c r="E16" s="66">
        <f>(F16&lt;&gt;0)*IF(F15&lt;=0,LOOKUP(2,1/($F$5:$F15&lt;&gt;0),$F$5:$F15),F15)</f>
        <v>0</v>
      </c>
      <c r="F16" s="67"/>
      <c r="G16" s="56"/>
      <c r="H16" s="68">
        <f t="shared" si="1"/>
        <v>0</v>
      </c>
      <c r="I16" s="89">
        <f t="shared" si="0"/>
        <v>1667</v>
      </c>
      <c r="J16" s="81"/>
      <c r="K16" s="90"/>
      <c r="L16" s="73"/>
      <c r="M16" s="91"/>
      <c r="N16" s="56"/>
      <c r="O16" s="92"/>
      <c r="P16" s="93"/>
      <c r="Q16" s="115"/>
      <c r="R16" s="112"/>
      <c r="S16" s="116" t="s">
        <v>16</v>
      </c>
      <c r="T16" s="117"/>
      <c r="U16" s="103"/>
      <c r="V16" s="104"/>
      <c r="W16" s="104"/>
      <c r="X16" s="47"/>
      <c r="Y16" s="47"/>
      <c r="Z16" s="140"/>
      <c r="AA16" s="47"/>
      <c r="AB16" s="47"/>
      <c r="AC16" s="47"/>
      <c r="AD16" s="47"/>
      <c r="AE16" s="47"/>
    </row>
    <row r="17" ht="15" spans="2:31">
      <c r="B17" s="62">
        <v>43417</v>
      </c>
      <c r="C17" s="63">
        <v>21671</v>
      </c>
      <c r="D17" s="56"/>
      <c r="E17" s="66">
        <f>(F17&lt;&gt;0)*IF(F16&lt;=0,LOOKUP(2,1/($F$5:$F16&lt;&gt;0),$F$5:$F16),F16)</f>
        <v>0</v>
      </c>
      <c r="F17" s="67"/>
      <c r="G17" s="56"/>
      <c r="H17" s="68">
        <f t="shared" si="1"/>
        <v>0</v>
      </c>
      <c r="I17" s="89">
        <f t="shared" si="0"/>
        <v>1667</v>
      </c>
      <c r="J17" s="81"/>
      <c r="K17" s="90"/>
      <c r="L17" s="73"/>
      <c r="M17" s="91"/>
      <c r="N17" s="56"/>
      <c r="O17" s="92"/>
      <c r="P17" s="93"/>
      <c r="Q17" s="115"/>
      <c r="R17" s="112"/>
      <c r="S17" s="118" t="s">
        <v>18</v>
      </c>
      <c r="T17" s="119"/>
      <c r="U17" s="103"/>
      <c r="V17" s="104"/>
      <c r="W17" s="104"/>
      <c r="X17" s="47"/>
      <c r="Y17" s="47"/>
      <c r="Z17" s="140"/>
      <c r="AA17" s="47"/>
      <c r="AB17" s="47"/>
      <c r="AC17" s="47"/>
      <c r="AD17" s="47"/>
      <c r="AE17" s="47"/>
    </row>
    <row r="18" ht="15.75" spans="2:31">
      <c r="B18" s="62">
        <v>43418</v>
      </c>
      <c r="C18" s="63">
        <v>23338</v>
      </c>
      <c r="D18" s="56"/>
      <c r="E18" s="66">
        <f>(F18&lt;&gt;0)*IF(F17&lt;=0,LOOKUP(2,1/($F$5:$F17&lt;&gt;0),$F$5:$F17),F17)</f>
        <v>0</v>
      </c>
      <c r="F18" s="67"/>
      <c r="G18" s="56"/>
      <c r="H18" s="68">
        <f t="shared" si="1"/>
        <v>0</v>
      </c>
      <c r="I18" s="89">
        <f t="shared" si="0"/>
        <v>1667</v>
      </c>
      <c r="J18" s="81"/>
      <c r="K18" s="90"/>
      <c r="L18" s="73"/>
      <c r="M18" s="91"/>
      <c r="N18" s="56"/>
      <c r="O18" s="92"/>
      <c r="P18" s="93"/>
      <c r="Q18" s="115"/>
      <c r="R18" s="112"/>
      <c r="S18" s="120" t="s">
        <v>20</v>
      </c>
      <c r="T18" s="121">
        <f>SUM(T16*T17)</f>
        <v>0</v>
      </c>
      <c r="U18" s="103"/>
      <c r="V18" s="104"/>
      <c r="W18" s="104"/>
      <c r="X18" s="47"/>
      <c r="Y18" s="47"/>
      <c r="Z18" s="140"/>
      <c r="AA18" s="47"/>
      <c r="AB18" s="47"/>
      <c r="AC18" s="47"/>
      <c r="AD18" s="47"/>
      <c r="AE18" s="47"/>
    </row>
    <row r="19" ht="15.75" spans="2:31">
      <c r="B19" s="62">
        <v>43419</v>
      </c>
      <c r="C19" s="63">
        <v>25005</v>
      </c>
      <c r="D19" s="56"/>
      <c r="E19" s="66">
        <f>(F19&lt;&gt;0)*IF(F18&lt;=0,LOOKUP(2,1/($F$5:$F18&lt;&gt;0),$F$5:$F18),F18)</f>
        <v>0</v>
      </c>
      <c r="F19" s="67"/>
      <c r="G19" s="56"/>
      <c r="H19" s="68">
        <f t="shared" si="1"/>
        <v>0</v>
      </c>
      <c r="I19" s="89">
        <f t="shared" si="0"/>
        <v>1667</v>
      </c>
      <c r="J19" s="81"/>
      <c r="K19" s="90"/>
      <c r="L19" s="73"/>
      <c r="M19" s="91"/>
      <c r="N19" s="56"/>
      <c r="O19" s="92"/>
      <c r="P19" s="93"/>
      <c r="Q19" s="115"/>
      <c r="R19" s="112"/>
      <c r="S19" s="47"/>
      <c r="T19" s="47"/>
      <c r="U19" s="103"/>
      <c r="V19" s="104"/>
      <c r="W19" s="104"/>
      <c r="X19" s="47"/>
      <c r="Y19" s="47"/>
      <c r="Z19" s="140"/>
      <c r="AA19" s="47"/>
      <c r="AB19" s="47"/>
      <c r="AC19" s="47"/>
      <c r="AD19" s="47"/>
      <c r="AE19" s="47"/>
    </row>
    <row r="20" ht="18.75" spans="2:31">
      <c r="B20" s="62">
        <v>43420</v>
      </c>
      <c r="C20" s="63">
        <v>26672</v>
      </c>
      <c r="D20" s="56"/>
      <c r="E20" s="66">
        <f>(F20&lt;&gt;0)*IF(F19&lt;=0,LOOKUP(2,1/($F$5:$F19&lt;&gt;0),$F$5:$F19),F19)</f>
        <v>0</v>
      </c>
      <c r="F20" s="67"/>
      <c r="G20" s="56"/>
      <c r="H20" s="68">
        <f t="shared" si="1"/>
        <v>0</v>
      </c>
      <c r="I20" s="89">
        <f t="shared" si="0"/>
        <v>1667</v>
      </c>
      <c r="J20" s="81"/>
      <c r="K20" s="90"/>
      <c r="L20" s="73"/>
      <c r="M20" s="91"/>
      <c r="N20" s="56"/>
      <c r="O20" s="92"/>
      <c r="P20" s="93"/>
      <c r="Q20" s="115"/>
      <c r="R20" s="112"/>
      <c r="S20" s="125" t="s">
        <v>25</v>
      </c>
      <c r="T20" s="126"/>
      <c r="U20" s="103"/>
      <c r="V20" s="104"/>
      <c r="W20" s="104"/>
      <c r="X20" s="47"/>
      <c r="Y20" s="47"/>
      <c r="Z20" s="140"/>
      <c r="AA20" s="47"/>
      <c r="AB20" s="47"/>
      <c r="AC20" s="47"/>
      <c r="AD20" s="47"/>
      <c r="AE20" s="47"/>
    </row>
    <row r="21" ht="15" spans="2:31">
      <c r="B21" s="62">
        <v>43421</v>
      </c>
      <c r="C21" s="63">
        <v>28339</v>
      </c>
      <c r="D21" s="56"/>
      <c r="E21" s="66">
        <f>(F21&lt;&gt;0)*IF(F20&lt;=0,LOOKUP(2,1/($F$5:$F20&lt;&gt;0),$F$5:$F20),F20)</f>
        <v>0</v>
      </c>
      <c r="F21" s="67"/>
      <c r="G21" s="56"/>
      <c r="H21" s="68">
        <f t="shared" si="1"/>
        <v>0</v>
      </c>
      <c r="I21" s="89">
        <f t="shared" si="0"/>
        <v>1667</v>
      </c>
      <c r="J21" s="81"/>
      <c r="K21" s="90"/>
      <c r="L21" s="73"/>
      <c r="M21" s="91"/>
      <c r="N21" s="56"/>
      <c r="O21" s="92"/>
      <c r="P21" s="93"/>
      <c r="Q21" s="115"/>
      <c r="R21" s="112"/>
      <c r="S21" s="116" t="s">
        <v>16</v>
      </c>
      <c r="T21" s="117"/>
      <c r="U21" s="103"/>
      <c r="V21" s="104"/>
      <c r="W21" s="104"/>
      <c r="X21" s="47"/>
      <c r="Y21" s="47"/>
      <c r="Z21" s="140"/>
      <c r="AA21" s="47"/>
      <c r="AB21" s="47"/>
      <c r="AC21" s="47"/>
      <c r="AD21" s="47"/>
      <c r="AE21" s="47"/>
    </row>
    <row r="22" ht="15" spans="2:31">
      <c r="B22" s="62">
        <v>43422</v>
      </c>
      <c r="C22" s="63">
        <v>30006</v>
      </c>
      <c r="D22" s="56"/>
      <c r="E22" s="66">
        <f>(F22&lt;&gt;0)*IF(F21&lt;=0,LOOKUP(2,1/($F$5:$F21&lt;&gt;0),$F$5:$F21),F21)</f>
        <v>0</v>
      </c>
      <c r="F22" s="67"/>
      <c r="G22" s="56"/>
      <c r="H22" s="68">
        <f t="shared" si="1"/>
        <v>0</v>
      </c>
      <c r="I22" s="89">
        <f t="shared" si="0"/>
        <v>1667</v>
      </c>
      <c r="J22" s="81"/>
      <c r="K22" s="90"/>
      <c r="L22" s="73"/>
      <c r="M22" s="91"/>
      <c r="N22" s="56"/>
      <c r="O22" s="92"/>
      <c r="P22" s="93"/>
      <c r="Q22" s="115"/>
      <c r="R22" s="112"/>
      <c r="S22" s="118" t="s">
        <v>18</v>
      </c>
      <c r="T22" s="127"/>
      <c r="U22" s="103"/>
      <c r="V22" s="104"/>
      <c r="W22" s="104"/>
      <c r="X22" s="47"/>
      <c r="Y22" s="47"/>
      <c r="Z22" s="140"/>
      <c r="AA22" s="47"/>
      <c r="AB22" s="47"/>
      <c r="AC22" s="47"/>
      <c r="AD22" s="47"/>
      <c r="AE22" s="47"/>
    </row>
    <row r="23" ht="15.75" spans="2:31">
      <c r="B23" s="62">
        <v>43423</v>
      </c>
      <c r="C23" s="63">
        <v>31673</v>
      </c>
      <c r="D23" s="56"/>
      <c r="E23" s="66">
        <f>(F23&lt;&gt;0)*IF(F22&lt;=0,LOOKUP(2,1/($F$5:$F22&lt;&gt;0),$F$5:$F22),F22)</f>
        <v>0</v>
      </c>
      <c r="F23" s="67"/>
      <c r="G23" s="56"/>
      <c r="H23" s="68">
        <f t="shared" si="1"/>
        <v>0</v>
      </c>
      <c r="I23" s="89">
        <f t="shared" si="0"/>
        <v>1667</v>
      </c>
      <c r="J23" s="81"/>
      <c r="K23" s="90"/>
      <c r="L23" s="73"/>
      <c r="M23" s="91"/>
      <c r="N23" s="56"/>
      <c r="O23" s="92"/>
      <c r="P23" s="93"/>
      <c r="Q23" s="115"/>
      <c r="R23" s="112"/>
      <c r="S23" s="120" t="s">
        <v>20</v>
      </c>
      <c r="T23" s="128" t="e">
        <f>SUM(T21/T22)</f>
        <v>#DIV/0!</v>
      </c>
      <c r="U23" s="103"/>
      <c r="V23" s="104"/>
      <c r="W23" s="104"/>
      <c r="X23" s="47"/>
      <c r="Y23" s="47"/>
      <c r="Z23" s="140"/>
      <c r="AA23" s="47"/>
      <c r="AB23" s="47"/>
      <c r="AC23" s="47"/>
      <c r="AD23" s="47"/>
      <c r="AE23" s="47"/>
    </row>
    <row r="24" ht="15" spans="2:31">
      <c r="B24" s="62">
        <v>43424</v>
      </c>
      <c r="C24" s="63">
        <v>33340</v>
      </c>
      <c r="D24" s="56"/>
      <c r="E24" s="66">
        <f>(F24&lt;&gt;0)*IF(F23&lt;=0,LOOKUP(2,1/($F$5:$F23&lt;&gt;0),$F$5:$F23),F23)</f>
        <v>0</v>
      </c>
      <c r="F24" s="67"/>
      <c r="G24" s="56"/>
      <c r="H24" s="68">
        <f t="shared" si="1"/>
        <v>0</v>
      </c>
      <c r="I24" s="89">
        <f t="shared" si="0"/>
        <v>1667</v>
      </c>
      <c r="J24" s="81"/>
      <c r="K24" s="90"/>
      <c r="L24" s="73"/>
      <c r="M24" s="91"/>
      <c r="N24" s="56"/>
      <c r="O24" s="92"/>
      <c r="P24" s="93"/>
      <c r="Q24" s="115"/>
      <c r="R24" s="112"/>
      <c r="S24" s="47"/>
      <c r="T24" s="47"/>
      <c r="U24" s="103"/>
      <c r="V24" s="104"/>
      <c r="W24" s="104"/>
      <c r="X24" s="47"/>
      <c r="Y24" s="47"/>
      <c r="Z24" s="140"/>
      <c r="AA24" s="47"/>
      <c r="AB24" s="47"/>
      <c r="AC24" s="47"/>
      <c r="AD24" s="47"/>
      <c r="AE24" s="47"/>
    </row>
    <row r="25" ht="15" spans="2:31">
      <c r="B25" s="62">
        <v>43425</v>
      </c>
      <c r="C25" s="63">
        <v>35007</v>
      </c>
      <c r="D25" s="56"/>
      <c r="E25" s="66">
        <f>(F25&lt;&gt;0)*IF(F24&lt;=0,LOOKUP(2,1/($F$5:$F24&lt;&gt;0),$F$5:$F24),F24)</f>
        <v>0</v>
      </c>
      <c r="F25" s="67"/>
      <c r="G25" s="56"/>
      <c r="H25" s="68">
        <f t="shared" si="1"/>
        <v>0</v>
      </c>
      <c r="I25" s="89">
        <f t="shared" si="0"/>
        <v>1667</v>
      </c>
      <c r="J25" s="81"/>
      <c r="K25" s="90"/>
      <c r="L25" s="73"/>
      <c r="M25" s="91"/>
      <c r="N25" s="56"/>
      <c r="O25" s="92"/>
      <c r="P25" s="93"/>
      <c r="Q25" s="115"/>
      <c r="R25" s="112"/>
      <c r="S25" s="47"/>
      <c r="T25" s="47"/>
      <c r="U25" s="103"/>
      <c r="V25" s="104"/>
      <c r="W25" s="104"/>
      <c r="X25" s="47"/>
      <c r="Y25" s="47"/>
      <c r="Z25" s="140"/>
      <c r="AA25" s="47"/>
      <c r="AB25" s="47"/>
      <c r="AC25" s="47"/>
      <c r="AD25" s="47"/>
      <c r="AE25" s="47"/>
    </row>
    <row r="26" ht="15.75" spans="2:31">
      <c r="B26" s="62">
        <v>43426</v>
      </c>
      <c r="C26" s="63">
        <v>36674</v>
      </c>
      <c r="D26" s="56"/>
      <c r="E26" s="66">
        <f>(F26&lt;&gt;0)*IF(F25&lt;=0,LOOKUP(2,1/($F$5:$F25&lt;&gt;0),$F$5:$F25),F25)</f>
        <v>0</v>
      </c>
      <c r="F26" s="67"/>
      <c r="G26" s="56"/>
      <c r="H26" s="68">
        <f t="shared" si="1"/>
        <v>0</v>
      </c>
      <c r="I26" s="89">
        <f t="shared" si="0"/>
        <v>1667</v>
      </c>
      <c r="J26" s="81"/>
      <c r="K26" s="90"/>
      <c r="L26" s="73"/>
      <c r="M26" s="91"/>
      <c r="N26" s="56"/>
      <c r="O26" s="92"/>
      <c r="P26" s="93"/>
      <c r="Q26" s="115"/>
      <c r="R26" s="112"/>
      <c r="S26" s="47"/>
      <c r="T26" s="47"/>
      <c r="U26" s="103"/>
      <c r="V26" s="104"/>
      <c r="W26" s="104"/>
      <c r="X26" s="47"/>
      <c r="Y26" s="47"/>
      <c r="Z26" s="140"/>
      <c r="AA26" s="47"/>
      <c r="AB26" s="47"/>
      <c r="AC26" s="47"/>
      <c r="AD26" s="47"/>
      <c r="AE26" s="47"/>
    </row>
    <row r="27" ht="15" spans="2:31">
      <c r="B27" s="62">
        <v>43427</v>
      </c>
      <c r="C27" s="63">
        <v>38341</v>
      </c>
      <c r="D27" s="56"/>
      <c r="E27" s="66">
        <f>(F27&lt;&gt;0)*IF(F26&lt;=0,LOOKUP(2,1/($F$5:$F26&lt;&gt;0),$F$5:$F26),F26)</f>
        <v>0</v>
      </c>
      <c r="F27" s="67"/>
      <c r="G27" s="56"/>
      <c r="H27" s="68">
        <f t="shared" si="1"/>
        <v>0</v>
      </c>
      <c r="I27" s="89">
        <f t="shared" si="0"/>
        <v>1667</v>
      </c>
      <c r="J27" s="81"/>
      <c r="K27" s="90"/>
      <c r="L27" s="73"/>
      <c r="M27" s="91"/>
      <c r="N27" s="56"/>
      <c r="O27" s="92"/>
      <c r="P27" s="93"/>
      <c r="Q27" s="115"/>
      <c r="R27" s="112"/>
      <c r="S27" s="129" t="s">
        <v>26</v>
      </c>
      <c r="T27" s="130"/>
      <c r="U27" s="103"/>
      <c r="V27" s="104"/>
      <c r="W27" s="104"/>
      <c r="X27" s="47"/>
      <c r="Y27" s="47"/>
      <c r="Z27" s="140"/>
      <c r="AA27" s="47"/>
      <c r="AB27" s="47"/>
      <c r="AC27" s="47"/>
      <c r="AD27" s="47"/>
      <c r="AE27" s="47"/>
    </row>
    <row r="28" ht="15" spans="2:31">
      <c r="B28" s="62">
        <v>43428</v>
      </c>
      <c r="C28" s="63">
        <v>40008</v>
      </c>
      <c r="D28" s="56"/>
      <c r="E28" s="66">
        <f>(F28&lt;&gt;0)*IF(F27&lt;=0,LOOKUP(2,1/($F$5:$F27&lt;&gt;0),$F$5:$F27),F27)</f>
        <v>0</v>
      </c>
      <c r="F28" s="67"/>
      <c r="G28" s="56"/>
      <c r="H28" s="68">
        <f t="shared" si="1"/>
        <v>0</v>
      </c>
      <c r="I28" s="89">
        <f t="shared" si="0"/>
        <v>1667</v>
      </c>
      <c r="J28" s="81"/>
      <c r="K28" s="90"/>
      <c r="L28" s="73"/>
      <c r="M28" s="91"/>
      <c r="N28" s="56"/>
      <c r="O28" s="92"/>
      <c r="P28" s="93"/>
      <c r="Q28" s="115"/>
      <c r="R28" s="112"/>
      <c r="S28" s="131"/>
      <c r="T28" s="132"/>
      <c r="U28" s="103"/>
      <c r="V28" s="104"/>
      <c r="W28" s="104"/>
      <c r="X28" s="47"/>
      <c r="Y28" s="47"/>
      <c r="Z28" s="140"/>
      <c r="AA28" s="47"/>
      <c r="AB28" s="47"/>
      <c r="AC28" s="47"/>
      <c r="AD28" s="47"/>
      <c r="AE28" s="47"/>
    </row>
    <row r="29" ht="15.75" spans="2:31">
      <c r="B29" s="62">
        <v>43429</v>
      </c>
      <c r="C29" s="63">
        <v>41675</v>
      </c>
      <c r="D29" s="56"/>
      <c r="E29" s="66">
        <f>(F29&lt;&gt;0)*IF(F28&lt;=0,LOOKUP(2,1/($F$5:$F28&lt;&gt;0),$F$5:$F28),F28)</f>
        <v>0</v>
      </c>
      <c r="F29" s="67"/>
      <c r="G29" s="56"/>
      <c r="H29" s="68">
        <f t="shared" si="1"/>
        <v>0</v>
      </c>
      <c r="I29" s="89">
        <f t="shared" si="0"/>
        <v>1667</v>
      </c>
      <c r="J29" s="81"/>
      <c r="K29" s="90"/>
      <c r="L29" s="73"/>
      <c r="M29" s="91"/>
      <c r="N29" s="56"/>
      <c r="O29" s="92"/>
      <c r="P29" s="93"/>
      <c r="Q29" s="115"/>
      <c r="R29" s="112"/>
      <c r="S29" s="133"/>
      <c r="T29" s="134"/>
      <c r="U29" s="103"/>
      <c r="V29" s="104"/>
      <c r="W29" s="104"/>
      <c r="X29" s="47"/>
      <c r="Y29" s="47"/>
      <c r="Z29" s="140"/>
      <c r="AA29" s="47"/>
      <c r="AB29" s="47"/>
      <c r="AC29" s="47"/>
      <c r="AD29" s="47"/>
      <c r="AE29" s="47"/>
    </row>
    <row r="30" ht="15" spans="2:31">
      <c r="B30" s="62">
        <v>43430</v>
      </c>
      <c r="C30" s="63">
        <v>43342</v>
      </c>
      <c r="D30" s="56"/>
      <c r="E30" s="66">
        <f>(F30&lt;&gt;0)*IF(F29&lt;=0,LOOKUP(2,1/($F$5:$F29&lt;&gt;0),$F$5:$F29),F29)</f>
        <v>0</v>
      </c>
      <c r="F30" s="67"/>
      <c r="G30" s="56"/>
      <c r="H30" s="68">
        <f t="shared" si="1"/>
        <v>0</v>
      </c>
      <c r="I30" s="89">
        <f t="shared" si="0"/>
        <v>1667</v>
      </c>
      <c r="J30" s="81"/>
      <c r="K30" s="90"/>
      <c r="L30" s="73"/>
      <c r="M30" s="91"/>
      <c r="N30" s="56"/>
      <c r="O30" s="92"/>
      <c r="P30" s="93"/>
      <c r="Q30" s="115"/>
      <c r="R30" s="112"/>
      <c r="S30" s="135"/>
      <c r="T30" s="135"/>
      <c r="U30" s="103"/>
      <c r="V30" s="104"/>
      <c r="W30" s="104"/>
      <c r="X30" s="47"/>
      <c r="Y30" s="47"/>
      <c r="Z30" s="140"/>
      <c r="AA30" s="47"/>
      <c r="AB30" s="47"/>
      <c r="AC30" s="47"/>
      <c r="AD30" s="47"/>
      <c r="AE30" s="47"/>
    </row>
    <row r="31" ht="18" spans="2:31">
      <c r="B31" s="62">
        <v>43431</v>
      </c>
      <c r="C31" s="63">
        <v>45009</v>
      </c>
      <c r="D31" s="56"/>
      <c r="E31" s="66">
        <f>(F31&lt;&gt;0)*IF(F30&lt;=0,LOOKUP(2,1/($F$5:$F30&lt;&gt;0),$F$5:$F30),F30)</f>
        <v>0</v>
      </c>
      <c r="F31" s="67"/>
      <c r="G31" s="56"/>
      <c r="H31" s="68">
        <f t="shared" si="1"/>
        <v>0</v>
      </c>
      <c r="I31" s="89">
        <f t="shared" si="0"/>
        <v>1667</v>
      </c>
      <c r="J31" s="81"/>
      <c r="K31" s="90"/>
      <c r="L31" s="73"/>
      <c r="M31" s="91"/>
      <c r="N31" s="56"/>
      <c r="O31" s="92"/>
      <c r="P31" s="93"/>
      <c r="Q31" s="115"/>
      <c r="R31" s="112"/>
      <c r="S31" s="136" t="s">
        <v>27</v>
      </c>
      <c r="T31" s="136"/>
      <c r="U31" s="103"/>
      <c r="V31" s="104"/>
      <c r="W31" s="104"/>
      <c r="X31" s="47"/>
      <c r="Y31" s="47"/>
      <c r="Z31" s="140"/>
      <c r="AA31" s="47"/>
      <c r="AB31" s="47"/>
      <c r="AC31" s="47"/>
      <c r="AD31" s="47"/>
      <c r="AE31" s="47"/>
    </row>
    <row r="32" ht="15" spans="2:31">
      <c r="B32" s="62">
        <v>43432</v>
      </c>
      <c r="C32" s="63">
        <v>46676</v>
      </c>
      <c r="D32" s="56"/>
      <c r="E32" s="66">
        <f>(F32&lt;&gt;0)*IF(F31&lt;=0,LOOKUP(2,1/($F$5:$F31&lt;&gt;0),$F$5:$F31),F31)</f>
        <v>0</v>
      </c>
      <c r="F32" s="67"/>
      <c r="G32" s="56"/>
      <c r="H32" s="68">
        <f t="shared" si="1"/>
        <v>0</v>
      </c>
      <c r="I32" s="89">
        <f t="shared" si="0"/>
        <v>1667</v>
      </c>
      <c r="J32" s="81"/>
      <c r="K32" s="90"/>
      <c r="L32" s="73"/>
      <c r="M32" s="91"/>
      <c r="N32" s="56"/>
      <c r="O32" s="92"/>
      <c r="P32" s="93"/>
      <c r="Q32" s="115"/>
      <c r="R32" s="112"/>
      <c r="S32" s="137">
        <v>0.0416666666666667</v>
      </c>
      <c r="T32" s="137"/>
      <c r="U32" s="103"/>
      <c r="V32" s="104"/>
      <c r="W32" s="104"/>
      <c r="X32" s="47"/>
      <c r="Y32" s="47"/>
      <c r="Z32" s="140"/>
      <c r="AA32" s="47"/>
      <c r="AB32" s="47"/>
      <c r="AC32" s="47"/>
      <c r="AD32" s="47"/>
      <c r="AE32" s="47"/>
    </row>
    <row r="33" ht="15" spans="2:31">
      <c r="B33" s="62">
        <v>43433</v>
      </c>
      <c r="C33" s="63">
        <v>48343</v>
      </c>
      <c r="D33" s="56"/>
      <c r="E33" s="66">
        <f>(F33&lt;&gt;0)*IF(F32&lt;=0,LOOKUP(2,1/($F$5:$F32&lt;&gt;0),$F$5:$F32),F32)</f>
        <v>0</v>
      </c>
      <c r="F33" s="67"/>
      <c r="G33" s="56"/>
      <c r="H33" s="68">
        <f t="shared" si="1"/>
        <v>0</v>
      </c>
      <c r="I33" s="89">
        <f t="shared" si="0"/>
        <v>1667</v>
      </c>
      <c r="J33" s="81"/>
      <c r="K33" s="90"/>
      <c r="L33" s="73"/>
      <c r="M33" s="91"/>
      <c r="N33" s="56"/>
      <c r="O33" s="92"/>
      <c r="P33" s="93"/>
      <c r="Q33" s="115"/>
      <c r="R33" s="112"/>
      <c r="S33" s="135"/>
      <c r="T33" s="135"/>
      <c r="U33" s="103"/>
      <c r="V33" s="104"/>
      <c r="W33" s="104"/>
      <c r="X33" s="104"/>
      <c r="Y33" s="104"/>
      <c r="Z33" s="140"/>
      <c r="AA33" s="47"/>
      <c r="AB33" s="47"/>
      <c r="AC33" s="47"/>
      <c r="AD33" s="47"/>
      <c r="AE33" s="47"/>
    </row>
    <row r="34" ht="15" spans="2:31">
      <c r="B34" s="62">
        <v>43434</v>
      </c>
      <c r="C34" s="63">
        <v>50010</v>
      </c>
      <c r="D34" s="56"/>
      <c r="E34" s="69">
        <f>(F34&lt;&gt;0)*IF(F33&lt;=0,LOOKUP(2,1/($F$5:$F33&lt;&gt;0),$F$5:$F33),F33)</f>
        <v>0</v>
      </c>
      <c r="F34" s="70">
        <f>IF(D4&lt;=0,0,D4)</f>
        <v>0</v>
      </c>
      <c r="G34" s="56"/>
      <c r="H34" s="71">
        <f t="shared" si="1"/>
        <v>0</v>
      </c>
      <c r="I34" s="94">
        <f t="shared" si="0"/>
        <v>1667</v>
      </c>
      <c r="J34" s="81"/>
      <c r="K34" s="95"/>
      <c r="L34" s="96"/>
      <c r="M34" s="97"/>
      <c r="N34" s="56"/>
      <c r="O34" s="98"/>
      <c r="P34" s="99"/>
      <c r="Q34" s="138"/>
      <c r="R34" s="112"/>
      <c r="S34" s="135"/>
      <c r="T34" s="135"/>
      <c r="U34" s="103"/>
      <c r="V34" s="104"/>
      <c r="W34" s="104"/>
      <c r="X34" s="104"/>
      <c r="Y34" s="104"/>
      <c r="Z34" s="140"/>
      <c r="AA34" s="47"/>
      <c r="AB34" s="47"/>
      <c r="AC34" s="47"/>
      <c r="AD34" s="47"/>
      <c r="AE34" s="47"/>
    </row>
    <row r="35" ht="19.5" spans="2:31">
      <c r="B35" s="72"/>
      <c r="C35" s="59"/>
      <c r="D35" s="73"/>
      <c r="E35" s="74"/>
      <c r="F35" s="73"/>
      <c r="G35" s="73"/>
      <c r="H35" s="72"/>
      <c r="I35" s="72"/>
      <c r="J35" s="100"/>
      <c r="K35" s="73"/>
      <c r="L35" s="100"/>
      <c r="M35" s="100"/>
      <c r="N35" s="100"/>
      <c r="O35" s="100"/>
      <c r="P35" s="100"/>
      <c r="Q35" s="100"/>
      <c r="R35" s="100"/>
      <c r="S35" s="135"/>
      <c r="T35" s="135"/>
      <c r="V35" s="104"/>
      <c r="W35" s="104"/>
      <c r="X35" s="104"/>
      <c r="Y35" s="104"/>
      <c r="Z35" s="140"/>
      <c r="AA35" s="47"/>
      <c r="AB35" s="47"/>
      <c r="AC35" s="47"/>
      <c r="AD35" s="47"/>
      <c r="AE35" s="47"/>
    </row>
    <row r="36" ht="15" spans="2:31">
      <c r="B36" s="72"/>
      <c r="C36" s="75"/>
      <c r="D36" s="72"/>
      <c r="E36" s="72"/>
      <c r="F36" s="72"/>
      <c r="G36" s="72"/>
      <c r="H36" s="72"/>
      <c r="I36" s="72"/>
      <c r="J36" s="100"/>
      <c r="K36" s="72"/>
      <c r="L36" s="100"/>
      <c r="M36" s="100"/>
      <c r="N36" s="100"/>
      <c r="O36" s="100"/>
      <c r="P36" s="100"/>
      <c r="Q36" s="100"/>
      <c r="R36" s="100"/>
      <c r="S36" s="135"/>
      <c r="T36" s="135"/>
      <c r="V36" s="104"/>
      <c r="W36" s="104"/>
      <c r="X36" s="104"/>
      <c r="Y36" s="104"/>
      <c r="Z36" s="140"/>
      <c r="AA36" s="47"/>
      <c r="AB36" s="47"/>
      <c r="AC36" s="47"/>
      <c r="AD36" s="47"/>
      <c r="AE36" s="47"/>
    </row>
    <row r="37" ht="15" spans="2:31">
      <c r="B37" s="61"/>
      <c r="D37" s="61"/>
      <c r="E37" s="61"/>
      <c r="F37" s="61"/>
      <c r="G37" s="61"/>
      <c r="H37" s="61"/>
      <c r="I37" s="61"/>
      <c r="K37" s="61"/>
      <c r="L37" s="100"/>
      <c r="M37" s="100"/>
      <c r="N37" s="100"/>
      <c r="O37" s="100"/>
      <c r="P37" s="100"/>
      <c r="Q37" s="100"/>
      <c r="R37" s="100"/>
      <c r="S37" s="135"/>
      <c r="T37" s="135"/>
      <c r="V37" s="104"/>
      <c r="W37" s="104"/>
      <c r="X37" s="104"/>
      <c r="Y37" s="104"/>
      <c r="Z37" s="140"/>
      <c r="AA37" s="47"/>
      <c r="AB37" s="47"/>
      <c r="AC37" s="47"/>
      <c r="AD37" s="47"/>
      <c r="AE37" s="47"/>
    </row>
    <row r="38" ht="15" spans="2:25">
      <c r="B38" s="61"/>
      <c r="D38" s="61"/>
      <c r="E38" s="61"/>
      <c r="F38" s="61"/>
      <c r="G38" s="61"/>
      <c r="H38" s="61"/>
      <c r="I38" s="61"/>
      <c r="K38" s="61"/>
      <c r="L38" s="100"/>
      <c r="M38" s="100"/>
      <c r="N38" s="100"/>
      <c r="O38" s="100"/>
      <c r="P38" s="100"/>
      <c r="Q38" s="100"/>
      <c r="R38" s="100"/>
      <c r="S38" s="135"/>
      <c r="T38" s="135"/>
      <c r="V38" s="104"/>
      <c r="W38" s="104"/>
      <c r="X38" s="104"/>
      <c r="Y38" s="104"/>
    </row>
    <row r="39" ht="15" spans="2:25">
      <c r="B39" s="61"/>
      <c r="D39" s="61"/>
      <c r="E39" s="61"/>
      <c r="F39" s="61"/>
      <c r="G39" s="61"/>
      <c r="H39" s="61"/>
      <c r="I39" s="61"/>
      <c r="K39" s="61"/>
      <c r="L39" s="100"/>
      <c r="M39" s="100"/>
      <c r="N39" s="100"/>
      <c r="O39" s="100"/>
      <c r="P39" s="100"/>
      <c r="Q39" s="100"/>
      <c r="R39" s="100"/>
      <c r="S39" s="135"/>
      <c r="T39" s="135"/>
      <c r="V39" s="104"/>
      <c r="W39" s="104"/>
      <c r="X39" s="104"/>
      <c r="Y39" s="104"/>
    </row>
    <row r="40" ht="15" spans="2:25">
      <c r="B40" s="61"/>
      <c r="D40" s="61"/>
      <c r="E40" s="61"/>
      <c r="F40" s="61"/>
      <c r="G40" s="61"/>
      <c r="H40" s="61"/>
      <c r="I40" s="61"/>
      <c r="K40" s="61"/>
      <c r="L40" s="100"/>
      <c r="M40" s="100"/>
      <c r="N40" s="100"/>
      <c r="O40" s="100"/>
      <c r="P40" s="100"/>
      <c r="Q40" s="100"/>
      <c r="R40" s="100"/>
      <c r="S40" s="135"/>
      <c r="T40" s="135"/>
      <c r="V40" s="104"/>
      <c r="W40" s="104"/>
      <c r="X40" s="104"/>
      <c r="Y40" s="104"/>
    </row>
    <row r="41" ht="15" spans="2:25">
      <c r="B41" s="61"/>
      <c r="D41" s="61"/>
      <c r="E41" s="61"/>
      <c r="F41" s="61"/>
      <c r="G41" s="61"/>
      <c r="H41" s="61"/>
      <c r="I41" s="61"/>
      <c r="K41" s="61"/>
      <c r="L41" s="100"/>
      <c r="M41" s="100"/>
      <c r="N41" s="100"/>
      <c r="O41" s="100"/>
      <c r="P41" s="100"/>
      <c r="Q41" s="100"/>
      <c r="R41" s="100"/>
      <c r="S41" s="135"/>
      <c r="T41" s="135"/>
      <c r="V41" s="104"/>
      <c r="W41" s="104"/>
      <c r="X41" s="104"/>
      <c r="Y41" s="104"/>
    </row>
    <row r="42" ht="15" spans="2:25">
      <c r="B42" s="61"/>
      <c r="D42" s="61"/>
      <c r="E42" s="61"/>
      <c r="F42" s="61"/>
      <c r="G42" s="61"/>
      <c r="H42" s="61"/>
      <c r="I42" s="61"/>
      <c r="K42" s="61"/>
      <c r="L42" s="100"/>
      <c r="M42" s="100"/>
      <c r="N42" s="100"/>
      <c r="O42" s="100"/>
      <c r="P42" s="100"/>
      <c r="Q42" s="100"/>
      <c r="R42" s="100"/>
      <c r="S42" s="135"/>
      <c r="T42" s="135"/>
      <c r="V42" s="104"/>
      <c r="W42" s="104"/>
      <c r="X42" s="104"/>
      <c r="Y42" s="104"/>
    </row>
    <row r="43" ht="15" spans="2:25">
      <c r="B43" s="61"/>
      <c r="D43" s="61"/>
      <c r="E43" s="61"/>
      <c r="F43" s="61"/>
      <c r="G43" s="61"/>
      <c r="H43" s="61"/>
      <c r="I43" s="61"/>
      <c r="K43" s="61"/>
      <c r="L43" s="100"/>
      <c r="M43" s="100"/>
      <c r="N43" s="100"/>
      <c r="O43" s="100"/>
      <c r="P43" s="100"/>
      <c r="Q43" s="100"/>
      <c r="R43" s="100"/>
      <c r="S43" s="135"/>
      <c r="T43" s="135"/>
      <c r="V43" s="104"/>
      <c r="W43" s="104"/>
      <c r="X43" s="104"/>
      <c r="Y43" s="104"/>
    </row>
    <row r="44" ht="15" spans="2:25">
      <c r="B44" s="61"/>
      <c r="D44" s="61"/>
      <c r="E44" s="61"/>
      <c r="F44" s="61"/>
      <c r="G44" s="61"/>
      <c r="H44" s="61"/>
      <c r="I44" s="61"/>
      <c r="K44" s="61"/>
      <c r="L44" s="100"/>
      <c r="M44" s="100"/>
      <c r="N44" s="100"/>
      <c r="O44" s="100"/>
      <c r="P44" s="100"/>
      <c r="Q44" s="100"/>
      <c r="R44" s="100"/>
      <c r="S44" s="135"/>
      <c r="T44" s="135"/>
      <c r="V44" s="104"/>
      <c r="W44" s="104"/>
      <c r="X44" s="104"/>
      <c r="Y44" s="104"/>
    </row>
    <row r="45" ht="15" spans="2:25">
      <c r="B45" s="61"/>
      <c r="D45" s="61"/>
      <c r="E45" s="61"/>
      <c r="F45" s="61"/>
      <c r="G45" s="61"/>
      <c r="H45" s="61"/>
      <c r="I45" s="61"/>
      <c r="K45" s="61"/>
      <c r="L45" s="100"/>
      <c r="M45" s="100"/>
      <c r="N45" s="100"/>
      <c r="O45" s="100"/>
      <c r="P45" s="100"/>
      <c r="Q45" s="100"/>
      <c r="R45" s="100"/>
      <c r="S45" s="135"/>
      <c r="T45" s="135"/>
      <c r="V45" s="104"/>
      <c r="W45" s="104"/>
      <c r="X45" s="104"/>
      <c r="Y45" s="104"/>
    </row>
    <row r="46" ht="15" spans="2:25">
      <c r="B46" s="61"/>
      <c r="D46" s="61"/>
      <c r="E46" s="61"/>
      <c r="F46" s="61"/>
      <c r="G46" s="61"/>
      <c r="H46" s="61"/>
      <c r="I46" s="61"/>
      <c r="K46" s="61"/>
      <c r="L46" s="100"/>
      <c r="M46" s="100"/>
      <c r="N46" s="100"/>
      <c r="O46" s="100"/>
      <c r="P46" s="100"/>
      <c r="Q46" s="100"/>
      <c r="R46" s="100"/>
      <c r="S46" s="135"/>
      <c r="T46" s="135"/>
      <c r="V46" s="104"/>
      <c r="W46" s="104"/>
      <c r="X46" s="104"/>
      <c r="Y46" s="104"/>
    </row>
    <row r="47" ht="15" spans="2:25">
      <c r="B47" s="61"/>
      <c r="D47" s="61"/>
      <c r="E47" s="61"/>
      <c r="F47" s="61"/>
      <c r="G47" s="61"/>
      <c r="H47" s="61"/>
      <c r="I47" s="61"/>
      <c r="K47" s="61"/>
      <c r="L47" s="100"/>
      <c r="M47" s="100"/>
      <c r="N47" s="100"/>
      <c r="O47" s="100"/>
      <c r="P47" s="100"/>
      <c r="Q47" s="100"/>
      <c r="R47" s="100"/>
      <c r="S47" s="135"/>
      <c r="T47" s="135"/>
      <c r="V47" s="104"/>
      <c r="W47" s="104"/>
      <c r="X47" s="104"/>
      <c r="Y47" s="104"/>
    </row>
    <row r="48" ht="15" spans="2:25">
      <c r="B48" s="61"/>
      <c r="D48" s="61"/>
      <c r="E48" s="61"/>
      <c r="F48" s="61"/>
      <c r="G48" s="61"/>
      <c r="H48" s="61"/>
      <c r="I48" s="61"/>
      <c r="K48" s="61"/>
      <c r="L48" s="100"/>
      <c r="M48" s="100"/>
      <c r="N48" s="100"/>
      <c r="O48" s="100"/>
      <c r="P48" s="100"/>
      <c r="Q48" s="100"/>
      <c r="R48" s="100"/>
      <c r="S48" s="135"/>
      <c r="T48" s="135"/>
      <c r="V48" s="104"/>
      <c r="W48" s="104"/>
      <c r="X48" s="104"/>
      <c r="Y48" s="104"/>
    </row>
    <row r="49" ht="15" spans="2:25">
      <c r="B49" s="61"/>
      <c r="D49" s="61"/>
      <c r="E49" s="61"/>
      <c r="F49" s="61"/>
      <c r="G49" s="61"/>
      <c r="H49" s="61"/>
      <c r="I49" s="61"/>
      <c r="K49" s="61"/>
      <c r="L49" s="100"/>
      <c r="M49" s="100"/>
      <c r="N49" s="100"/>
      <c r="O49" s="100"/>
      <c r="P49" s="100"/>
      <c r="Q49" s="100"/>
      <c r="R49" s="100"/>
      <c r="S49" s="135"/>
      <c r="T49" s="135"/>
      <c r="V49" s="104"/>
      <c r="W49" s="104"/>
      <c r="X49" s="104"/>
      <c r="Y49" s="104"/>
    </row>
    <row r="50" ht="15" spans="2:25">
      <c r="B50" s="61"/>
      <c r="D50" s="61"/>
      <c r="E50" s="61"/>
      <c r="F50" s="61"/>
      <c r="G50" s="61"/>
      <c r="H50" s="61"/>
      <c r="I50" s="61"/>
      <c r="K50" s="61"/>
      <c r="L50" s="100"/>
      <c r="M50" s="100"/>
      <c r="N50" s="100"/>
      <c r="O50" s="100"/>
      <c r="P50" s="100"/>
      <c r="Q50" s="100"/>
      <c r="R50" s="100"/>
      <c r="S50" s="135"/>
      <c r="T50" s="135"/>
      <c r="V50" s="104"/>
      <c r="W50" s="104"/>
      <c r="X50" s="104"/>
      <c r="Y50" s="104"/>
    </row>
    <row r="51" ht="15" spans="2:25">
      <c r="B51" s="61"/>
      <c r="D51" s="61"/>
      <c r="E51" s="61"/>
      <c r="F51" s="61"/>
      <c r="G51" s="61"/>
      <c r="H51" s="61"/>
      <c r="I51" s="61"/>
      <c r="K51" s="61"/>
      <c r="L51" s="100"/>
      <c r="M51" s="100"/>
      <c r="N51" s="100"/>
      <c r="O51" s="100"/>
      <c r="P51" s="100"/>
      <c r="Q51" s="100"/>
      <c r="R51" s="100"/>
      <c r="S51" s="135"/>
      <c r="T51" s="135"/>
      <c r="V51" s="104"/>
      <c r="W51" s="104"/>
      <c r="X51" s="104"/>
      <c r="Y51" s="104"/>
    </row>
    <row r="52" ht="15" spans="2:25">
      <c r="B52" s="61"/>
      <c r="D52" s="61"/>
      <c r="E52" s="61"/>
      <c r="F52" s="61"/>
      <c r="G52" s="61"/>
      <c r="H52" s="61"/>
      <c r="I52" s="61"/>
      <c r="K52" s="61"/>
      <c r="L52" s="100"/>
      <c r="M52" s="100"/>
      <c r="N52" s="100"/>
      <c r="O52" s="100"/>
      <c r="P52" s="100"/>
      <c r="Q52" s="100"/>
      <c r="R52" s="100"/>
      <c r="S52" s="135"/>
      <c r="T52" s="135"/>
      <c r="V52" s="104"/>
      <c r="W52" s="104"/>
      <c r="X52" s="104"/>
      <c r="Y52" s="104"/>
    </row>
    <row r="53" ht="15" spans="2:25">
      <c r="B53" s="61"/>
      <c r="H53" s="61"/>
      <c r="I53" s="61"/>
      <c r="L53" s="100"/>
      <c r="M53" s="100"/>
      <c r="N53" s="100"/>
      <c r="O53" s="100"/>
      <c r="P53" s="100"/>
      <c r="Q53" s="100"/>
      <c r="R53" s="100"/>
      <c r="S53" s="135"/>
      <c r="T53" s="135"/>
      <c r="V53" s="104"/>
      <c r="W53" s="104"/>
      <c r="X53" s="104"/>
      <c r="Y53" s="104"/>
    </row>
    <row r="54" ht="15" spans="2:25">
      <c r="B54" s="61"/>
      <c r="H54" s="61"/>
      <c r="I54" s="61"/>
      <c r="L54" s="100"/>
      <c r="M54" s="100"/>
      <c r="N54" s="100"/>
      <c r="O54" s="100"/>
      <c r="P54" s="100"/>
      <c r="Q54" s="100"/>
      <c r="R54" s="100"/>
      <c r="S54" s="135"/>
      <c r="T54" s="135"/>
      <c r="V54" s="104"/>
      <c r="W54" s="104"/>
      <c r="X54" s="104"/>
      <c r="Y54" s="104"/>
    </row>
    <row r="55" ht="15" spans="2:25">
      <c r="B55" s="61"/>
      <c r="H55" s="61"/>
      <c r="I55" s="61"/>
      <c r="L55" s="100"/>
      <c r="M55" s="100"/>
      <c r="N55" s="100"/>
      <c r="O55" s="100"/>
      <c r="P55" s="100"/>
      <c r="Q55" s="100"/>
      <c r="R55" s="100"/>
      <c r="S55" s="135"/>
      <c r="T55" s="135"/>
      <c r="V55" s="104"/>
      <c r="W55" s="104"/>
      <c r="X55" s="104"/>
      <c r="Y55" s="104"/>
    </row>
    <row r="56" ht="15" spans="2:25">
      <c r="B56" s="61"/>
      <c r="H56" s="61"/>
      <c r="I56" s="61"/>
      <c r="L56" s="100"/>
      <c r="M56" s="100"/>
      <c r="N56" s="100"/>
      <c r="O56" s="100"/>
      <c r="P56" s="100"/>
      <c r="Q56" s="100"/>
      <c r="R56" s="100"/>
      <c r="S56" s="135"/>
      <c r="T56" s="135"/>
      <c r="V56" s="104"/>
      <c r="W56" s="104"/>
      <c r="X56" s="104"/>
      <c r="Y56" s="104"/>
    </row>
    <row r="57" ht="15" spans="2:25">
      <c r="B57" s="61"/>
      <c r="H57" s="61"/>
      <c r="I57" s="61"/>
      <c r="L57" s="100"/>
      <c r="M57" s="100"/>
      <c r="N57" s="100"/>
      <c r="O57" s="100"/>
      <c r="P57" s="100"/>
      <c r="Q57" s="100"/>
      <c r="R57" s="100"/>
      <c r="S57" s="135"/>
      <c r="T57" s="135"/>
      <c r="V57" s="104"/>
      <c r="W57" s="104"/>
      <c r="X57" s="104"/>
      <c r="Y57" s="104"/>
    </row>
    <row r="58" ht="15" spans="2:25">
      <c r="B58" s="61"/>
      <c r="H58" s="61"/>
      <c r="I58" s="61"/>
      <c r="L58" s="100"/>
      <c r="M58" s="100"/>
      <c r="N58" s="100"/>
      <c r="O58" s="100"/>
      <c r="P58" s="100"/>
      <c r="Q58" s="100"/>
      <c r="R58" s="100"/>
      <c r="S58" s="135"/>
      <c r="T58" s="135"/>
      <c r="V58" s="104"/>
      <c r="W58" s="104"/>
      <c r="X58" s="104"/>
      <c r="Y58" s="104"/>
    </row>
    <row r="59" ht="15" spans="2:25">
      <c r="B59" s="61"/>
      <c r="H59" s="61"/>
      <c r="I59" s="61"/>
      <c r="L59" s="100"/>
      <c r="M59" s="100"/>
      <c r="N59" s="100"/>
      <c r="O59" s="100"/>
      <c r="P59" s="100"/>
      <c r="Q59" s="100"/>
      <c r="R59" s="100"/>
      <c r="S59" s="135"/>
      <c r="T59" s="135"/>
      <c r="V59" s="104"/>
      <c r="W59" s="104"/>
      <c r="X59" s="104"/>
      <c r="Y59" s="104"/>
    </row>
    <row r="60" ht="15" spans="2:25">
      <c r="B60" s="61"/>
      <c r="H60" s="61"/>
      <c r="I60" s="61"/>
      <c r="L60" s="100"/>
      <c r="M60" s="100"/>
      <c r="N60" s="100"/>
      <c r="O60" s="100"/>
      <c r="P60" s="100"/>
      <c r="Q60" s="100"/>
      <c r="R60" s="100"/>
      <c r="S60" s="135"/>
      <c r="T60" s="135"/>
      <c r="V60" s="104"/>
      <c r="W60" s="104"/>
      <c r="X60" s="104"/>
      <c r="Y60" s="104"/>
    </row>
    <row r="61" ht="15" spans="2:25">
      <c r="B61" s="61"/>
      <c r="H61" s="61"/>
      <c r="I61" s="61"/>
      <c r="L61" s="100"/>
      <c r="M61" s="100"/>
      <c r="N61" s="100"/>
      <c r="O61" s="100"/>
      <c r="P61" s="100"/>
      <c r="Q61" s="100"/>
      <c r="R61" s="100"/>
      <c r="S61" s="135"/>
      <c r="T61" s="135"/>
      <c r="V61" s="104"/>
      <c r="W61" s="104"/>
      <c r="X61" s="104"/>
      <c r="Y61" s="104"/>
    </row>
    <row r="62" ht="15" spans="2:25">
      <c r="B62" s="61"/>
      <c r="H62" s="61"/>
      <c r="I62" s="61"/>
      <c r="L62" s="100"/>
      <c r="M62" s="100"/>
      <c r="N62" s="100"/>
      <c r="O62" s="100"/>
      <c r="P62" s="100"/>
      <c r="Q62" s="100"/>
      <c r="R62" s="100"/>
      <c r="S62" s="135"/>
      <c r="T62" s="135"/>
      <c r="V62" s="104"/>
      <c r="W62" s="104"/>
      <c r="X62" s="104"/>
      <c r="Y62" s="104"/>
    </row>
    <row r="63" ht="15" spans="2:25">
      <c r="B63" s="61"/>
      <c r="H63" s="61"/>
      <c r="I63" s="61"/>
      <c r="L63" s="100"/>
      <c r="M63" s="100"/>
      <c r="N63" s="100"/>
      <c r="O63" s="100"/>
      <c r="P63" s="100"/>
      <c r="Q63" s="100"/>
      <c r="R63" s="100"/>
      <c r="S63" s="135"/>
      <c r="T63" s="135"/>
      <c r="V63" s="104"/>
      <c r="W63" s="104"/>
      <c r="X63" s="104"/>
      <c r="Y63" s="104"/>
    </row>
    <row r="64" ht="15" spans="2:25">
      <c r="B64" s="61"/>
      <c r="H64" s="61"/>
      <c r="I64" s="61"/>
      <c r="L64" s="100"/>
      <c r="M64" s="100"/>
      <c r="N64" s="100"/>
      <c r="O64" s="100"/>
      <c r="P64" s="100"/>
      <c r="Q64" s="100"/>
      <c r="R64" s="100"/>
      <c r="S64" s="135"/>
      <c r="T64" s="135"/>
      <c r="V64" s="104"/>
      <c r="W64" s="104"/>
      <c r="X64" s="104"/>
      <c r="Y64" s="104"/>
    </row>
    <row r="65" ht="15" spans="2:25">
      <c r="B65" s="61"/>
      <c r="H65" s="61"/>
      <c r="I65" s="61"/>
      <c r="L65" s="100"/>
      <c r="M65" s="100"/>
      <c r="N65" s="100"/>
      <c r="O65" s="100"/>
      <c r="P65" s="100"/>
      <c r="Q65" s="100"/>
      <c r="R65" s="100"/>
      <c r="S65" s="135"/>
      <c r="T65" s="135"/>
      <c r="V65" s="104"/>
      <c r="W65" s="104"/>
      <c r="X65" s="104"/>
      <c r="Y65" s="104"/>
    </row>
    <row r="66" spans="2:25">
      <c r="B66" s="61"/>
      <c r="H66" s="61"/>
      <c r="I66" s="61"/>
      <c r="S66" s="135"/>
      <c r="T66" s="135"/>
      <c r="V66" s="104"/>
      <c r="W66" s="104"/>
      <c r="X66" s="104"/>
      <c r="Y66" s="104"/>
    </row>
    <row r="67" spans="2:25">
      <c r="B67" s="61"/>
      <c r="H67" s="61"/>
      <c r="I67" s="61"/>
      <c r="S67" s="135"/>
      <c r="T67" s="135"/>
      <c r="V67" s="104"/>
      <c r="W67" s="104"/>
      <c r="X67" s="104"/>
      <c r="Y67" s="104"/>
    </row>
    <row r="68" spans="2:25">
      <c r="B68" s="61"/>
      <c r="H68" s="61"/>
      <c r="I68" s="61"/>
      <c r="S68" s="135"/>
      <c r="T68" s="135"/>
      <c r="V68" s="104"/>
      <c r="W68" s="104"/>
      <c r="X68" s="104"/>
      <c r="Y68" s="104"/>
    </row>
    <row r="69" spans="2:25">
      <c r="B69" s="61"/>
      <c r="H69" s="61"/>
      <c r="I69" s="61"/>
      <c r="S69" s="135"/>
      <c r="T69" s="135"/>
      <c r="V69" s="104"/>
      <c r="W69" s="104"/>
      <c r="X69" s="104"/>
      <c r="Y69" s="104"/>
    </row>
    <row r="70" spans="2:25">
      <c r="B70" s="61"/>
      <c r="H70" s="61"/>
      <c r="I70" s="61"/>
      <c r="S70" s="135"/>
      <c r="T70" s="135"/>
      <c r="V70" s="104"/>
      <c r="W70" s="104"/>
      <c r="X70" s="104"/>
      <c r="Y70" s="104"/>
    </row>
    <row r="71" spans="2:25">
      <c r="B71" s="61"/>
      <c r="H71" s="61"/>
      <c r="I71" s="61"/>
      <c r="S71" s="135"/>
      <c r="T71" s="135"/>
      <c r="V71" s="104"/>
      <c r="W71" s="104"/>
      <c r="X71" s="104"/>
      <c r="Y71" s="104"/>
    </row>
    <row r="72" spans="2:25">
      <c r="B72" s="61"/>
      <c r="H72" s="61"/>
      <c r="I72" s="61"/>
      <c r="S72" s="135"/>
      <c r="T72" s="135"/>
      <c r="V72" s="104"/>
      <c r="W72" s="104"/>
      <c r="X72" s="104"/>
      <c r="Y72" s="104"/>
    </row>
    <row r="73" spans="2:25">
      <c r="B73" s="61"/>
      <c r="H73" s="61"/>
      <c r="I73" s="61"/>
      <c r="S73" s="135"/>
      <c r="T73" s="135"/>
      <c r="V73" s="104"/>
      <c r="W73" s="104"/>
      <c r="X73" s="104"/>
      <c r="Y73" s="104"/>
    </row>
    <row r="74" spans="2:25">
      <c r="B74" s="61"/>
      <c r="H74" s="61"/>
      <c r="I74" s="61"/>
      <c r="S74" s="135"/>
      <c r="T74" s="135"/>
      <c r="V74" s="104"/>
      <c r="W74" s="104"/>
      <c r="X74" s="104"/>
      <c r="Y74" s="104"/>
    </row>
    <row r="75" spans="2:25">
      <c r="B75" s="61"/>
      <c r="H75" s="61"/>
      <c r="I75" s="61"/>
      <c r="S75" s="135"/>
      <c r="T75" s="135"/>
      <c r="V75" s="104"/>
      <c r="W75" s="104"/>
      <c r="X75" s="104"/>
      <c r="Y75" s="104"/>
    </row>
    <row r="76" spans="2:25">
      <c r="B76" s="61"/>
      <c r="H76" s="61"/>
      <c r="I76" s="61"/>
      <c r="S76" s="135"/>
      <c r="T76" s="135"/>
      <c r="V76" s="104"/>
      <c r="W76" s="104"/>
      <c r="X76" s="104"/>
      <c r="Y76" s="104"/>
    </row>
    <row r="77" spans="2:25">
      <c r="B77" s="61"/>
      <c r="H77" s="61"/>
      <c r="I77" s="61"/>
      <c r="S77" s="135"/>
      <c r="T77" s="135"/>
      <c r="V77" s="104"/>
      <c r="W77" s="104"/>
      <c r="X77" s="104"/>
      <c r="Y77" s="104"/>
    </row>
    <row r="78" spans="2:25">
      <c r="B78" s="61"/>
      <c r="H78" s="61"/>
      <c r="I78" s="61"/>
      <c r="S78" s="135"/>
      <c r="T78" s="135"/>
      <c r="V78" s="104"/>
      <c r="W78" s="104"/>
      <c r="X78" s="104"/>
      <c r="Y78" s="104"/>
    </row>
    <row r="79" spans="2:25">
      <c r="B79" s="61"/>
      <c r="H79" s="61"/>
      <c r="I79" s="61"/>
      <c r="S79" s="135"/>
      <c r="T79" s="135"/>
      <c r="V79" s="104"/>
      <c r="W79" s="104"/>
      <c r="X79" s="104"/>
      <c r="Y79" s="104"/>
    </row>
    <row r="80" spans="2:25">
      <c r="B80" s="61"/>
      <c r="H80" s="61"/>
      <c r="I80" s="61"/>
      <c r="S80" s="135"/>
      <c r="T80" s="135"/>
      <c r="V80" s="104"/>
      <c r="W80" s="104"/>
      <c r="X80" s="104"/>
      <c r="Y80" s="104"/>
    </row>
    <row r="81" spans="2:25">
      <c r="B81" s="61"/>
      <c r="H81" s="61"/>
      <c r="I81" s="61"/>
      <c r="S81" s="135"/>
      <c r="T81" s="135"/>
      <c r="V81" s="104"/>
      <c r="W81" s="104"/>
      <c r="X81" s="104"/>
      <c r="Y81" s="104"/>
    </row>
    <row r="82" spans="8:25">
      <c r="H82" s="61"/>
      <c r="I82" s="61"/>
      <c r="S82" s="135"/>
      <c r="T82" s="135"/>
      <c r="V82" s="104"/>
      <c r="W82" s="104"/>
      <c r="X82" s="104"/>
      <c r="Y82" s="104"/>
    </row>
    <row r="83" spans="8:25">
      <c r="H83" s="61"/>
      <c r="I83" s="61"/>
      <c r="S83" s="135"/>
      <c r="T83" s="135"/>
      <c r="V83" s="104"/>
      <c r="W83" s="104"/>
      <c r="X83" s="104"/>
      <c r="Y83" s="104"/>
    </row>
    <row r="84" spans="8:25">
      <c r="H84" s="61"/>
      <c r="I84" s="61"/>
      <c r="S84" s="135"/>
      <c r="T84" s="135"/>
      <c r="V84" s="104"/>
      <c r="W84" s="104"/>
      <c r="X84" s="104"/>
      <c r="Y84" s="104"/>
    </row>
    <row r="85" spans="8:25">
      <c r="H85" s="61"/>
      <c r="I85" s="61"/>
      <c r="S85" s="135"/>
      <c r="T85" s="135"/>
      <c r="V85" s="104"/>
      <c r="W85" s="104"/>
      <c r="X85" s="104"/>
      <c r="Y85" s="104"/>
    </row>
    <row r="86" spans="8:25">
      <c r="H86" s="61"/>
      <c r="I86" s="61"/>
      <c r="S86" s="135"/>
      <c r="T86" s="135"/>
      <c r="V86" s="104"/>
      <c r="W86" s="104"/>
      <c r="X86" s="104"/>
      <c r="Y86" s="104"/>
    </row>
    <row r="87" spans="8:25">
      <c r="H87" s="61"/>
      <c r="I87" s="61"/>
      <c r="S87" s="135"/>
      <c r="T87" s="135"/>
      <c r="V87" s="104"/>
      <c r="W87" s="104"/>
      <c r="X87" s="104"/>
      <c r="Y87" s="104"/>
    </row>
    <row r="88" spans="8:25">
      <c r="H88" s="61"/>
      <c r="I88" s="61"/>
      <c r="S88" s="135"/>
      <c r="T88" s="135"/>
      <c r="V88" s="104"/>
      <c r="W88" s="104"/>
      <c r="X88" s="104"/>
      <c r="Y88" s="104"/>
    </row>
    <row r="89" spans="8:25">
      <c r="H89" s="61"/>
      <c r="I89" s="61"/>
      <c r="S89" s="135"/>
      <c r="T89" s="135"/>
      <c r="V89" s="104"/>
      <c r="W89" s="104"/>
      <c r="X89" s="104"/>
      <c r="Y89" s="104"/>
    </row>
    <row r="90" spans="8:25">
      <c r="H90" s="61"/>
      <c r="I90" s="61"/>
      <c r="S90" s="135"/>
      <c r="T90" s="135"/>
      <c r="V90" s="104"/>
      <c r="W90" s="104"/>
      <c r="X90" s="104"/>
      <c r="Y90" s="104"/>
    </row>
    <row r="91" spans="8:25">
      <c r="H91" s="61"/>
      <c r="I91" s="61"/>
      <c r="S91" s="135"/>
      <c r="T91" s="135"/>
      <c r="V91" s="104"/>
      <c r="W91" s="104"/>
      <c r="X91" s="104"/>
      <c r="Y91" s="104"/>
    </row>
    <row r="92" spans="8:25">
      <c r="H92" s="61"/>
      <c r="I92" s="61"/>
      <c r="S92" s="135"/>
      <c r="T92" s="135"/>
      <c r="V92" s="104"/>
      <c r="W92" s="104"/>
      <c r="X92" s="104"/>
      <c r="Y92" s="104"/>
    </row>
    <row r="93" spans="8:25">
      <c r="H93" s="61"/>
      <c r="I93" s="61"/>
      <c r="S93" s="135"/>
      <c r="T93" s="135"/>
      <c r="V93" s="104"/>
      <c r="W93" s="104"/>
      <c r="X93" s="104"/>
      <c r="Y93" s="104"/>
    </row>
    <row r="94" spans="8:25">
      <c r="H94" s="61"/>
      <c r="I94" s="61"/>
      <c r="S94" s="135"/>
      <c r="T94" s="135"/>
      <c r="V94" s="104"/>
      <c r="W94" s="104"/>
      <c r="X94" s="104"/>
      <c r="Y94" s="104"/>
    </row>
    <row r="95" spans="8:25">
      <c r="H95" s="61"/>
      <c r="I95" s="61"/>
      <c r="S95" s="135"/>
      <c r="T95" s="135"/>
      <c r="V95" s="104"/>
      <c r="W95" s="104"/>
      <c r="X95" s="104"/>
      <c r="Y95" s="104"/>
    </row>
    <row r="96" spans="8:25">
      <c r="H96" s="61"/>
      <c r="I96" s="61"/>
      <c r="S96" s="135"/>
      <c r="T96" s="135"/>
      <c r="V96" s="104"/>
      <c r="W96" s="104"/>
      <c r="X96" s="104"/>
      <c r="Y96" s="104"/>
    </row>
    <row r="97" spans="8:25">
      <c r="H97" s="61"/>
      <c r="I97" s="61"/>
      <c r="S97" s="135"/>
      <c r="T97" s="135"/>
      <c r="V97" s="104"/>
      <c r="W97" s="104"/>
      <c r="X97" s="104"/>
      <c r="Y97" s="104"/>
    </row>
    <row r="98" spans="8:25">
      <c r="H98" s="61"/>
      <c r="I98" s="61"/>
      <c r="S98" s="135"/>
      <c r="T98" s="135"/>
      <c r="V98" s="104"/>
      <c r="W98" s="104"/>
      <c r="X98" s="104"/>
      <c r="Y98" s="104"/>
    </row>
    <row r="99" spans="8:25">
      <c r="H99" s="61"/>
      <c r="I99" s="61"/>
      <c r="S99" s="135"/>
      <c r="T99" s="135"/>
      <c r="V99" s="104"/>
      <c r="W99" s="104"/>
      <c r="X99" s="104"/>
      <c r="Y99" s="104"/>
    </row>
    <row r="100" spans="8:25">
      <c r="H100" s="61"/>
      <c r="I100" s="61"/>
      <c r="S100" s="135"/>
      <c r="T100" s="135"/>
      <c r="V100" s="104"/>
      <c r="W100" s="104"/>
      <c r="X100" s="104"/>
      <c r="Y100" s="104"/>
    </row>
    <row r="101" spans="8:25">
      <c r="H101" s="61"/>
      <c r="I101" s="61"/>
      <c r="S101" s="135"/>
      <c r="T101" s="135"/>
      <c r="V101" s="104"/>
      <c r="W101" s="104"/>
      <c r="X101" s="104"/>
      <c r="Y101" s="104"/>
    </row>
    <row r="102" spans="8:25">
      <c r="H102" s="61"/>
      <c r="I102" s="61"/>
      <c r="S102" s="135"/>
      <c r="T102" s="135"/>
      <c r="V102" s="104"/>
      <c r="W102" s="104"/>
      <c r="X102" s="104"/>
      <c r="Y102" s="104"/>
    </row>
    <row r="103" spans="8:25">
      <c r="H103" s="61"/>
      <c r="I103" s="61"/>
      <c r="S103" s="135"/>
      <c r="T103" s="135"/>
      <c r="V103" s="104"/>
      <c r="W103" s="104"/>
      <c r="X103" s="104"/>
      <c r="Y103" s="104"/>
    </row>
    <row r="104" spans="8:25">
      <c r="H104" s="61"/>
      <c r="I104" s="61"/>
      <c r="S104" s="135"/>
      <c r="T104" s="135"/>
      <c r="V104" s="104"/>
      <c r="W104" s="104"/>
      <c r="X104" s="104"/>
      <c r="Y104" s="104"/>
    </row>
    <row r="105" spans="8:25">
      <c r="H105" s="61"/>
      <c r="I105" s="61"/>
      <c r="S105" s="135"/>
      <c r="T105" s="135"/>
      <c r="V105" s="104"/>
      <c r="W105" s="104"/>
      <c r="X105" s="104"/>
      <c r="Y105" s="104"/>
    </row>
    <row r="106" spans="8:25">
      <c r="H106" s="61"/>
      <c r="I106" s="61"/>
      <c r="S106" s="135"/>
      <c r="T106" s="135"/>
      <c r="V106" s="104"/>
      <c r="W106" s="104"/>
      <c r="X106" s="104"/>
      <c r="Y106" s="104"/>
    </row>
    <row r="107" spans="8:25">
      <c r="H107" s="61"/>
      <c r="I107" s="61"/>
      <c r="S107" s="135"/>
      <c r="T107" s="135"/>
      <c r="V107" s="104"/>
      <c r="W107" s="104"/>
      <c r="X107" s="104"/>
      <c r="Y107" s="104"/>
    </row>
    <row r="108" spans="8:25">
      <c r="H108" s="61"/>
      <c r="I108" s="61"/>
      <c r="S108" s="135"/>
      <c r="T108" s="135"/>
      <c r="V108" s="104"/>
      <c r="W108" s="104"/>
      <c r="X108" s="104"/>
      <c r="Y108" s="104"/>
    </row>
    <row r="109" spans="8:25">
      <c r="H109" s="61"/>
      <c r="I109" s="61"/>
      <c r="S109" s="135"/>
      <c r="T109" s="135"/>
      <c r="V109" s="104"/>
      <c r="W109" s="104"/>
      <c r="X109" s="104"/>
      <c r="Y109" s="104"/>
    </row>
    <row r="110" spans="8:25">
      <c r="H110" s="61"/>
      <c r="I110" s="61"/>
      <c r="S110" s="135"/>
      <c r="T110" s="135"/>
      <c r="V110" s="104"/>
      <c r="W110" s="104"/>
      <c r="X110" s="104"/>
      <c r="Y110" s="104"/>
    </row>
    <row r="111" spans="8:25">
      <c r="H111" s="61"/>
      <c r="I111" s="61"/>
      <c r="S111" s="135"/>
      <c r="T111" s="135"/>
      <c r="V111" s="104"/>
      <c r="W111" s="104"/>
      <c r="X111" s="104"/>
      <c r="Y111" s="104"/>
    </row>
    <row r="112" spans="8:25">
      <c r="H112" s="61"/>
      <c r="I112" s="61"/>
      <c r="S112" s="135"/>
      <c r="T112" s="135"/>
      <c r="V112" s="104"/>
      <c r="W112" s="104"/>
      <c r="X112" s="104"/>
      <c r="Y112" s="104"/>
    </row>
    <row r="113" spans="8:25">
      <c r="H113" s="61"/>
      <c r="I113" s="61"/>
      <c r="S113" s="135"/>
      <c r="T113" s="135"/>
      <c r="V113" s="104"/>
      <c r="W113" s="104"/>
      <c r="X113" s="104"/>
      <c r="Y113" s="104"/>
    </row>
    <row r="114" spans="8:25">
      <c r="H114" s="61"/>
      <c r="I114" s="61"/>
      <c r="S114" s="135"/>
      <c r="T114" s="135"/>
      <c r="V114" s="104"/>
      <c r="W114" s="104"/>
      <c r="X114" s="104"/>
      <c r="Y114" s="104"/>
    </row>
    <row r="115" spans="8:25">
      <c r="H115" s="61"/>
      <c r="I115" s="61"/>
      <c r="S115" s="135"/>
      <c r="T115" s="135"/>
      <c r="V115" s="104"/>
      <c r="W115" s="104"/>
      <c r="X115" s="104"/>
      <c r="Y115" s="104"/>
    </row>
    <row r="116" spans="8:25">
      <c r="H116" s="61"/>
      <c r="I116" s="61"/>
      <c r="S116" s="135"/>
      <c r="T116" s="135"/>
      <c r="V116" s="104"/>
      <c r="W116" s="104"/>
      <c r="X116" s="104"/>
      <c r="Y116" s="104"/>
    </row>
    <row r="117" spans="8:25">
      <c r="H117" s="61"/>
      <c r="I117" s="61"/>
      <c r="S117" s="135"/>
      <c r="T117" s="135"/>
      <c r="V117" s="104"/>
      <c r="W117" s="104"/>
      <c r="X117" s="104"/>
      <c r="Y117" s="104"/>
    </row>
    <row r="118" spans="8:25">
      <c r="H118" s="61"/>
      <c r="I118" s="61"/>
      <c r="S118" s="135"/>
      <c r="T118" s="135"/>
      <c r="V118" s="104"/>
      <c r="W118" s="104"/>
      <c r="X118" s="104"/>
      <c r="Y118" s="104"/>
    </row>
    <row r="119" spans="8:25">
      <c r="H119" s="61"/>
      <c r="I119" s="61"/>
      <c r="S119" s="135"/>
      <c r="T119" s="135"/>
      <c r="V119" s="104"/>
      <c r="W119" s="104"/>
      <c r="X119" s="104"/>
      <c r="Y119" s="104"/>
    </row>
    <row r="120" spans="8:25">
      <c r="H120" s="61"/>
      <c r="I120" s="61"/>
      <c r="S120" s="135"/>
      <c r="T120" s="135"/>
      <c r="V120" s="104"/>
      <c r="W120" s="104"/>
      <c r="X120" s="104"/>
      <c r="Y120" s="104"/>
    </row>
    <row r="121" spans="8:25">
      <c r="H121" s="61"/>
      <c r="I121" s="61"/>
      <c r="S121" s="135"/>
      <c r="T121" s="135"/>
      <c r="V121" s="104"/>
      <c r="W121" s="104"/>
      <c r="X121" s="104"/>
      <c r="Y121" s="104"/>
    </row>
    <row r="122" spans="8:25">
      <c r="H122" s="61"/>
      <c r="I122" s="61"/>
      <c r="S122" s="135"/>
      <c r="T122" s="135"/>
      <c r="V122" s="104"/>
      <c r="W122" s="104"/>
      <c r="X122" s="104"/>
      <c r="Y122" s="104"/>
    </row>
    <row r="123" spans="8:25">
      <c r="H123" s="61"/>
      <c r="I123" s="61"/>
      <c r="S123" s="135"/>
      <c r="T123" s="135"/>
      <c r="V123" s="104"/>
      <c r="W123" s="104"/>
      <c r="X123" s="104"/>
      <c r="Y123" s="104"/>
    </row>
    <row r="124" spans="8:25">
      <c r="H124" s="61"/>
      <c r="I124" s="61"/>
      <c r="S124" s="135"/>
      <c r="T124" s="135"/>
      <c r="V124" s="104"/>
      <c r="W124" s="104"/>
      <c r="X124" s="104"/>
      <c r="Y124" s="104"/>
    </row>
    <row r="125" spans="8:25">
      <c r="H125" s="61"/>
      <c r="I125" s="61"/>
      <c r="S125" s="135"/>
      <c r="T125" s="135"/>
      <c r="V125" s="104"/>
      <c r="W125" s="104"/>
      <c r="X125" s="104"/>
      <c r="Y125" s="104"/>
    </row>
    <row r="126" spans="8:25">
      <c r="H126" s="61"/>
      <c r="I126" s="61"/>
      <c r="S126" s="135"/>
      <c r="T126" s="135"/>
      <c r="V126" s="104"/>
      <c r="W126" s="104"/>
      <c r="X126" s="104"/>
      <c r="Y126" s="104"/>
    </row>
    <row r="127" spans="8:25">
      <c r="H127" s="61"/>
      <c r="I127" s="61"/>
      <c r="S127" s="135"/>
      <c r="T127" s="135"/>
      <c r="V127" s="104"/>
      <c r="W127" s="104"/>
      <c r="X127" s="104"/>
      <c r="Y127" s="104"/>
    </row>
    <row r="128" spans="8:25">
      <c r="H128" s="61"/>
      <c r="I128" s="61"/>
      <c r="S128" s="135"/>
      <c r="T128" s="135"/>
      <c r="V128" s="104"/>
      <c r="W128" s="104"/>
      <c r="X128" s="104"/>
      <c r="Y128" s="104"/>
    </row>
    <row r="129" spans="8:25">
      <c r="H129" s="61"/>
      <c r="I129" s="61"/>
      <c r="S129" s="135"/>
      <c r="T129" s="135"/>
      <c r="V129" s="104"/>
      <c r="W129" s="104"/>
      <c r="X129" s="104"/>
      <c r="Y129" s="104"/>
    </row>
    <row r="130" spans="8:25">
      <c r="H130" s="61"/>
      <c r="I130" s="61"/>
      <c r="S130" s="135"/>
      <c r="T130" s="135"/>
      <c r="V130" s="104"/>
      <c r="W130" s="104"/>
      <c r="X130" s="104"/>
      <c r="Y130" s="104"/>
    </row>
    <row r="131" spans="8:25">
      <c r="H131" s="61"/>
      <c r="I131" s="61"/>
      <c r="S131" s="135"/>
      <c r="T131" s="135"/>
      <c r="V131" s="104"/>
      <c r="W131" s="104"/>
      <c r="X131" s="104"/>
      <c r="Y131" s="104"/>
    </row>
    <row r="132" spans="8:25">
      <c r="H132" s="61"/>
      <c r="I132" s="61"/>
      <c r="S132" s="135"/>
      <c r="T132" s="135"/>
      <c r="V132" s="104"/>
      <c r="W132" s="104"/>
      <c r="X132" s="104"/>
      <c r="Y132" s="104"/>
    </row>
    <row r="133" spans="8:25">
      <c r="H133" s="61"/>
      <c r="I133" s="61"/>
      <c r="S133" s="135"/>
      <c r="T133" s="135"/>
      <c r="V133" s="104"/>
      <c r="W133" s="104"/>
      <c r="X133" s="104"/>
      <c r="Y133" s="104"/>
    </row>
    <row r="134" spans="8:25">
      <c r="H134" s="61"/>
      <c r="I134" s="61"/>
      <c r="S134" s="135"/>
      <c r="T134" s="135"/>
      <c r="V134" s="104"/>
      <c r="W134" s="104"/>
      <c r="X134" s="104"/>
      <c r="Y134" s="104"/>
    </row>
    <row r="135" spans="8:25">
      <c r="H135" s="61"/>
      <c r="I135" s="61"/>
      <c r="S135" s="135"/>
      <c r="T135" s="135"/>
      <c r="V135" s="104"/>
      <c r="W135" s="104"/>
      <c r="X135" s="104"/>
      <c r="Y135" s="104"/>
    </row>
    <row r="136" spans="8:25">
      <c r="H136" s="61"/>
      <c r="I136" s="61"/>
      <c r="S136" s="135"/>
      <c r="T136" s="135"/>
      <c r="V136" s="104"/>
      <c r="W136" s="104"/>
      <c r="X136" s="104"/>
      <c r="Y136" s="104"/>
    </row>
    <row r="137" spans="8:25">
      <c r="H137" s="61"/>
      <c r="I137" s="61"/>
      <c r="S137" s="135"/>
      <c r="T137" s="135"/>
      <c r="V137" s="104"/>
      <c r="W137" s="104"/>
      <c r="X137" s="104"/>
      <c r="Y137" s="104"/>
    </row>
    <row r="138" spans="8:25">
      <c r="H138" s="61"/>
      <c r="I138" s="61"/>
      <c r="S138" s="135"/>
      <c r="T138" s="135"/>
      <c r="V138" s="104"/>
      <c r="W138" s="104"/>
      <c r="X138" s="104"/>
      <c r="Y138" s="104"/>
    </row>
    <row r="139" spans="8:25">
      <c r="H139" s="61"/>
      <c r="I139" s="61"/>
      <c r="S139" s="135"/>
      <c r="T139" s="135"/>
      <c r="V139" s="104"/>
      <c r="W139" s="104"/>
      <c r="X139" s="104"/>
      <c r="Y139" s="104"/>
    </row>
    <row r="140" spans="8:25">
      <c r="H140" s="61"/>
      <c r="I140" s="61"/>
      <c r="S140" s="135"/>
      <c r="T140" s="135"/>
      <c r="V140" s="104"/>
      <c r="W140" s="104"/>
      <c r="X140" s="104"/>
      <c r="Y140" s="104"/>
    </row>
    <row r="141" spans="8:25">
      <c r="H141" s="61"/>
      <c r="I141" s="61"/>
      <c r="S141" s="135"/>
      <c r="T141" s="135"/>
      <c r="V141" s="104"/>
      <c r="W141" s="104"/>
      <c r="X141" s="104"/>
      <c r="Y141" s="104"/>
    </row>
    <row r="142" spans="8:25">
      <c r="H142" s="61"/>
      <c r="I142" s="61"/>
      <c r="S142" s="135"/>
      <c r="T142" s="135"/>
      <c r="V142" s="104"/>
      <c r="W142" s="104"/>
      <c r="X142" s="104"/>
      <c r="Y142" s="104"/>
    </row>
    <row r="143" spans="8:25">
      <c r="H143" s="61"/>
      <c r="I143" s="61"/>
      <c r="S143" s="135"/>
      <c r="T143" s="135"/>
      <c r="V143" s="104"/>
      <c r="W143" s="104"/>
      <c r="X143" s="104"/>
      <c r="Y143" s="104"/>
    </row>
    <row r="144" spans="8:25">
      <c r="H144" s="61"/>
      <c r="I144" s="61"/>
      <c r="S144" s="135"/>
      <c r="T144" s="135"/>
      <c r="V144" s="104"/>
      <c r="W144" s="104"/>
      <c r="X144" s="104"/>
      <c r="Y144" s="104"/>
    </row>
    <row r="145" spans="8:25">
      <c r="H145" s="61"/>
      <c r="I145" s="61"/>
      <c r="S145" s="135"/>
      <c r="T145" s="135"/>
      <c r="V145" s="104"/>
      <c r="W145" s="104"/>
      <c r="X145" s="104"/>
      <c r="Y145" s="104"/>
    </row>
    <row r="146" spans="8:25">
      <c r="H146" s="61"/>
      <c r="I146" s="61"/>
      <c r="S146" s="135"/>
      <c r="T146" s="135"/>
      <c r="V146" s="104"/>
      <c r="W146" s="104"/>
      <c r="X146" s="104"/>
      <c r="Y146" s="104"/>
    </row>
    <row r="147" spans="8:25">
      <c r="H147" s="61"/>
      <c r="I147" s="61"/>
      <c r="S147" s="135"/>
      <c r="T147" s="135"/>
      <c r="V147" s="104"/>
      <c r="W147" s="104"/>
      <c r="X147" s="104"/>
      <c r="Y147" s="104"/>
    </row>
    <row r="148" spans="8:25">
      <c r="H148" s="61"/>
      <c r="I148" s="61"/>
      <c r="S148" s="135"/>
      <c r="T148" s="135"/>
      <c r="V148" s="104"/>
      <c r="W148" s="104"/>
      <c r="X148" s="104"/>
      <c r="Y148" s="104"/>
    </row>
    <row r="149" spans="8:25">
      <c r="H149" s="61"/>
      <c r="I149" s="61"/>
      <c r="S149" s="135"/>
      <c r="T149" s="135"/>
      <c r="V149" s="104"/>
      <c r="W149" s="104"/>
      <c r="X149" s="104"/>
      <c r="Y149" s="104"/>
    </row>
    <row r="150" spans="8:25">
      <c r="H150" s="61"/>
      <c r="I150" s="61"/>
      <c r="S150" s="135"/>
      <c r="T150" s="135"/>
      <c r="V150" s="104"/>
      <c r="W150" s="104"/>
      <c r="X150" s="104"/>
      <c r="Y150" s="104"/>
    </row>
    <row r="151" spans="8:25">
      <c r="H151" s="61"/>
      <c r="I151" s="61"/>
      <c r="S151" s="135"/>
      <c r="T151" s="135"/>
      <c r="V151" s="104"/>
      <c r="W151" s="104"/>
      <c r="X151" s="104"/>
      <c r="Y151" s="104"/>
    </row>
    <row r="152" spans="8:25">
      <c r="H152" s="61"/>
      <c r="I152" s="61"/>
      <c r="S152" s="135"/>
      <c r="T152" s="135"/>
      <c r="V152" s="104"/>
      <c r="W152" s="104"/>
      <c r="X152" s="104"/>
      <c r="Y152" s="104"/>
    </row>
    <row r="153" spans="8:25">
      <c r="H153" s="61"/>
      <c r="I153" s="61"/>
      <c r="S153" s="135"/>
      <c r="T153" s="135"/>
      <c r="V153" s="104"/>
      <c r="W153" s="104"/>
      <c r="X153" s="104"/>
      <c r="Y153" s="104"/>
    </row>
    <row r="154" spans="8:25">
      <c r="H154" s="61"/>
      <c r="I154" s="61"/>
      <c r="S154" s="135"/>
      <c r="T154" s="135"/>
      <c r="V154" s="104"/>
      <c r="W154" s="104"/>
      <c r="X154" s="104"/>
      <c r="Y154" s="104"/>
    </row>
    <row r="155" spans="8:25">
      <c r="H155" s="61"/>
      <c r="I155" s="61"/>
      <c r="S155" s="135"/>
      <c r="T155" s="135"/>
      <c r="V155" s="104"/>
      <c r="W155" s="104"/>
      <c r="X155" s="104"/>
      <c r="Y155" s="104"/>
    </row>
    <row r="156" spans="8:25">
      <c r="H156" s="61"/>
      <c r="I156" s="61"/>
      <c r="S156" s="135"/>
      <c r="T156" s="135"/>
      <c r="V156" s="104"/>
      <c r="W156" s="104"/>
      <c r="X156" s="104"/>
      <c r="Y156" s="104"/>
    </row>
    <row r="157" spans="8:25">
      <c r="H157" s="61"/>
      <c r="I157" s="61"/>
      <c r="S157" s="135"/>
      <c r="T157" s="135"/>
      <c r="V157" s="104"/>
      <c r="W157" s="104"/>
      <c r="X157" s="104"/>
      <c r="Y157" s="104"/>
    </row>
    <row r="158" spans="8:25">
      <c r="H158" s="61"/>
      <c r="I158" s="61"/>
      <c r="S158" s="135"/>
      <c r="T158" s="135"/>
      <c r="V158" s="104"/>
      <c r="W158" s="104"/>
      <c r="X158" s="104"/>
      <c r="Y158" s="104"/>
    </row>
    <row r="159" spans="8:25">
      <c r="H159" s="61"/>
      <c r="I159" s="61"/>
      <c r="S159" s="135"/>
      <c r="T159" s="135"/>
      <c r="V159" s="104"/>
      <c r="W159" s="104"/>
      <c r="X159" s="104"/>
      <c r="Y159" s="104"/>
    </row>
    <row r="160" spans="8:25">
      <c r="H160" s="61"/>
      <c r="I160" s="61"/>
      <c r="S160" s="135"/>
      <c r="T160" s="135"/>
      <c r="V160" s="104"/>
      <c r="W160" s="104"/>
      <c r="X160" s="104"/>
      <c r="Y160" s="104"/>
    </row>
    <row r="161" spans="8:25">
      <c r="H161" s="61"/>
      <c r="I161" s="61"/>
      <c r="S161" s="135"/>
      <c r="T161" s="135"/>
      <c r="V161" s="104"/>
      <c r="W161" s="104"/>
      <c r="X161" s="104"/>
      <c r="Y161" s="104"/>
    </row>
    <row r="162" spans="8:25">
      <c r="H162" s="61"/>
      <c r="I162" s="61"/>
      <c r="S162" s="135"/>
      <c r="T162" s="135"/>
      <c r="V162" s="104"/>
      <c r="W162" s="104"/>
      <c r="X162" s="104"/>
      <c r="Y162" s="104"/>
    </row>
    <row r="163" spans="8:25">
      <c r="H163" s="61"/>
      <c r="I163" s="61"/>
      <c r="S163" s="135"/>
      <c r="T163" s="135"/>
      <c r="V163" s="104"/>
      <c r="W163" s="104"/>
      <c r="X163" s="104"/>
      <c r="Y163" s="104"/>
    </row>
    <row r="164" spans="8:25">
      <c r="H164" s="61"/>
      <c r="I164" s="61"/>
      <c r="S164" s="135"/>
      <c r="T164" s="135"/>
      <c r="V164" s="104"/>
      <c r="W164" s="104"/>
      <c r="X164" s="104"/>
      <c r="Y164" s="104"/>
    </row>
    <row r="165" spans="8:25">
      <c r="H165" s="61"/>
      <c r="I165" s="61"/>
      <c r="S165" s="135"/>
      <c r="T165" s="135"/>
      <c r="V165" s="104"/>
      <c r="W165" s="104"/>
      <c r="X165" s="104"/>
      <c r="Y165" s="104"/>
    </row>
    <row r="166" spans="8:25">
      <c r="H166" s="61"/>
      <c r="I166" s="61"/>
      <c r="S166" s="135"/>
      <c r="T166" s="135"/>
      <c r="V166" s="104"/>
      <c r="W166" s="104"/>
      <c r="X166" s="104"/>
      <c r="Y166" s="104"/>
    </row>
    <row r="167" spans="8:25">
      <c r="H167" s="61"/>
      <c r="I167" s="61"/>
      <c r="S167" s="135"/>
      <c r="T167" s="135"/>
      <c r="V167" s="104"/>
      <c r="W167" s="104"/>
      <c r="X167" s="104"/>
      <c r="Y167" s="104"/>
    </row>
    <row r="168" spans="8:25">
      <c r="H168" s="61"/>
      <c r="I168" s="61"/>
      <c r="S168" s="135"/>
      <c r="T168" s="135"/>
      <c r="V168" s="104"/>
      <c r="W168" s="104"/>
      <c r="X168" s="104"/>
      <c r="Y168" s="104"/>
    </row>
    <row r="169" spans="8:25">
      <c r="H169" s="61"/>
      <c r="I169" s="61"/>
      <c r="S169" s="135"/>
      <c r="T169" s="135"/>
      <c r="V169" s="104"/>
      <c r="W169" s="104"/>
      <c r="X169" s="104"/>
      <c r="Y169" s="104"/>
    </row>
    <row r="170" spans="8:25">
      <c r="H170" s="61"/>
      <c r="I170" s="61"/>
      <c r="S170" s="135"/>
      <c r="T170" s="135"/>
      <c r="V170" s="104"/>
      <c r="W170" s="104"/>
      <c r="X170" s="104"/>
      <c r="Y170" s="104"/>
    </row>
    <row r="171" spans="8:25">
      <c r="H171" s="61"/>
      <c r="I171" s="61"/>
      <c r="S171" s="135"/>
      <c r="T171" s="135"/>
      <c r="V171" s="104"/>
      <c r="W171" s="104"/>
      <c r="X171" s="104"/>
      <c r="Y171" s="104"/>
    </row>
    <row r="172" spans="8:25">
      <c r="H172" s="61"/>
      <c r="I172" s="61"/>
      <c r="S172" s="135"/>
      <c r="T172" s="135"/>
      <c r="V172" s="104"/>
      <c r="W172" s="104"/>
      <c r="X172" s="104"/>
      <c r="Y172" s="104"/>
    </row>
    <row r="173" spans="8:25">
      <c r="H173" s="61"/>
      <c r="I173" s="61"/>
      <c r="S173" s="135"/>
      <c r="T173" s="135"/>
      <c r="V173" s="104"/>
      <c r="W173" s="104"/>
      <c r="X173" s="104"/>
      <c r="Y173" s="104"/>
    </row>
    <row r="174" spans="8:25">
      <c r="H174" s="61"/>
      <c r="I174" s="61"/>
      <c r="S174" s="135"/>
      <c r="T174" s="135"/>
      <c r="V174" s="104"/>
      <c r="W174" s="104"/>
      <c r="X174" s="104"/>
      <c r="Y174" s="104"/>
    </row>
    <row r="175" spans="8:25">
      <c r="H175" s="61"/>
      <c r="I175" s="61"/>
      <c r="S175" s="135"/>
      <c r="T175" s="135"/>
      <c r="V175" s="104"/>
      <c r="W175" s="104"/>
      <c r="X175" s="104"/>
      <c r="Y175" s="104"/>
    </row>
    <row r="176" spans="8:25">
      <c r="H176" s="61"/>
      <c r="I176" s="61"/>
      <c r="S176" s="135"/>
      <c r="T176" s="135"/>
      <c r="V176" s="104"/>
      <c r="W176" s="104"/>
      <c r="X176" s="104"/>
      <c r="Y176" s="104"/>
    </row>
    <row r="177" spans="8:25">
      <c r="H177" s="61"/>
      <c r="I177" s="61"/>
      <c r="S177" s="135"/>
      <c r="T177" s="135"/>
      <c r="V177" s="104"/>
      <c r="W177" s="104"/>
      <c r="X177" s="104"/>
      <c r="Y177" s="104"/>
    </row>
    <row r="178" spans="8:25">
      <c r="H178" s="61"/>
      <c r="I178" s="61"/>
      <c r="S178" s="135"/>
      <c r="T178" s="135"/>
      <c r="V178" s="104"/>
      <c r="W178" s="104"/>
      <c r="X178" s="104"/>
      <c r="Y178" s="104"/>
    </row>
    <row r="179" spans="8:25">
      <c r="H179" s="61"/>
      <c r="I179" s="61"/>
      <c r="S179" s="135"/>
      <c r="T179" s="135"/>
      <c r="V179" s="104"/>
      <c r="W179" s="104"/>
      <c r="X179" s="104"/>
      <c r="Y179" s="104"/>
    </row>
    <row r="180" spans="8:25">
      <c r="H180" s="61"/>
      <c r="I180" s="61"/>
      <c r="S180" s="135"/>
      <c r="T180" s="135"/>
      <c r="V180" s="104"/>
      <c r="W180" s="104"/>
      <c r="X180" s="104"/>
      <c r="Y180" s="104"/>
    </row>
    <row r="181" spans="8:25">
      <c r="H181" s="61"/>
      <c r="I181" s="61"/>
      <c r="S181" s="135"/>
      <c r="T181" s="135"/>
      <c r="V181" s="104"/>
      <c r="W181" s="104"/>
      <c r="X181" s="104"/>
      <c r="Y181" s="104"/>
    </row>
    <row r="182" spans="8:25">
      <c r="H182" s="61"/>
      <c r="I182" s="61"/>
      <c r="S182" s="135"/>
      <c r="T182" s="135"/>
      <c r="V182" s="104"/>
      <c r="W182" s="104"/>
      <c r="X182" s="104"/>
      <c r="Y182" s="104"/>
    </row>
    <row r="183" spans="8:25">
      <c r="H183" s="61"/>
      <c r="I183" s="61"/>
      <c r="S183" s="135"/>
      <c r="T183" s="135"/>
      <c r="V183" s="104"/>
      <c r="W183" s="104"/>
      <c r="X183" s="104"/>
      <c r="Y183" s="104"/>
    </row>
    <row r="184" spans="8:25">
      <c r="H184" s="61"/>
      <c r="I184" s="61"/>
      <c r="S184" s="135"/>
      <c r="T184" s="135"/>
      <c r="V184" s="104"/>
      <c r="W184" s="104"/>
      <c r="X184" s="104"/>
      <c r="Y184" s="104"/>
    </row>
    <row r="185" spans="8:25">
      <c r="H185" s="61"/>
      <c r="I185" s="61"/>
      <c r="S185" s="135"/>
      <c r="T185" s="135"/>
      <c r="V185" s="104"/>
      <c r="W185" s="104"/>
      <c r="X185" s="104"/>
      <c r="Y185" s="104"/>
    </row>
    <row r="186" spans="8:25">
      <c r="H186" s="61"/>
      <c r="I186" s="61"/>
      <c r="S186" s="135"/>
      <c r="T186" s="135"/>
      <c r="V186" s="104"/>
      <c r="W186" s="104"/>
      <c r="X186" s="104"/>
      <c r="Y186" s="104"/>
    </row>
    <row r="187" spans="8:25">
      <c r="H187" s="61"/>
      <c r="I187" s="61"/>
      <c r="S187" s="135"/>
      <c r="T187" s="135"/>
      <c r="V187" s="104"/>
      <c r="W187" s="104"/>
      <c r="X187" s="104"/>
      <c r="Y187" s="104"/>
    </row>
    <row r="188" spans="8:25">
      <c r="H188" s="61"/>
      <c r="I188" s="61"/>
      <c r="S188" s="135"/>
      <c r="T188" s="135"/>
      <c r="V188" s="104"/>
      <c r="W188" s="104"/>
      <c r="X188" s="104"/>
      <c r="Y188" s="104"/>
    </row>
    <row r="189" spans="8:25">
      <c r="H189" s="61"/>
      <c r="I189" s="61"/>
      <c r="S189" s="135"/>
      <c r="T189" s="135"/>
      <c r="V189" s="104"/>
      <c r="W189" s="104"/>
      <c r="X189" s="104"/>
      <c r="Y189" s="104"/>
    </row>
    <row r="190" spans="8:25">
      <c r="H190" s="61"/>
      <c r="I190" s="61"/>
      <c r="S190" s="135"/>
      <c r="T190" s="135"/>
      <c r="V190" s="104"/>
      <c r="W190" s="104"/>
      <c r="X190" s="104"/>
      <c r="Y190" s="104"/>
    </row>
    <row r="191" spans="8:25">
      <c r="H191" s="61"/>
      <c r="I191" s="61"/>
      <c r="S191" s="135"/>
      <c r="T191" s="135"/>
      <c r="V191" s="104"/>
      <c r="W191" s="104"/>
      <c r="X191" s="104"/>
      <c r="Y191" s="104"/>
    </row>
    <row r="192" spans="8:25">
      <c r="H192" s="61"/>
      <c r="I192" s="61"/>
      <c r="S192" s="135"/>
      <c r="T192" s="135"/>
      <c r="V192" s="104"/>
      <c r="W192" s="104"/>
      <c r="X192" s="104"/>
      <c r="Y192" s="104"/>
    </row>
    <row r="193" spans="8:25">
      <c r="H193" s="61"/>
      <c r="I193" s="61"/>
      <c r="S193" s="135"/>
      <c r="T193" s="135"/>
      <c r="V193" s="104"/>
      <c r="W193" s="104"/>
      <c r="X193" s="104"/>
      <c r="Y193" s="104"/>
    </row>
    <row r="194" spans="8:25">
      <c r="H194" s="61"/>
      <c r="I194" s="61"/>
      <c r="S194" s="135"/>
      <c r="T194" s="135"/>
      <c r="V194" s="104"/>
      <c r="W194" s="104"/>
      <c r="X194" s="104"/>
      <c r="Y194" s="104"/>
    </row>
    <row r="195" spans="8:25">
      <c r="H195" s="61"/>
      <c r="I195" s="61"/>
      <c r="S195" s="135"/>
      <c r="T195" s="135"/>
      <c r="V195" s="104"/>
      <c r="W195" s="104"/>
      <c r="X195" s="104"/>
      <c r="Y195" s="104"/>
    </row>
    <row r="196" spans="8:25">
      <c r="H196" s="61"/>
      <c r="I196" s="61"/>
      <c r="S196" s="135"/>
      <c r="T196" s="135"/>
      <c r="V196" s="104"/>
      <c r="W196" s="104"/>
      <c r="X196" s="104"/>
      <c r="Y196" s="104"/>
    </row>
    <row r="197" spans="8:25">
      <c r="H197" s="61"/>
      <c r="I197" s="61"/>
      <c r="S197" s="135"/>
      <c r="T197" s="135"/>
      <c r="V197" s="104"/>
      <c r="W197" s="104"/>
      <c r="X197" s="104"/>
      <c r="Y197" s="104"/>
    </row>
    <row r="198" spans="8:25">
      <c r="H198" s="61"/>
      <c r="I198" s="61"/>
      <c r="S198" s="135"/>
      <c r="T198" s="135"/>
      <c r="V198" s="104"/>
      <c r="W198" s="104"/>
      <c r="X198" s="104"/>
      <c r="Y198" s="104"/>
    </row>
    <row r="199" spans="8:25">
      <c r="H199" s="61"/>
      <c r="I199" s="61"/>
      <c r="S199" s="135"/>
      <c r="T199" s="135"/>
      <c r="V199" s="104"/>
      <c r="W199" s="104"/>
      <c r="X199" s="104"/>
      <c r="Y199" s="104"/>
    </row>
    <row r="200" spans="8:25">
      <c r="H200" s="61"/>
      <c r="I200" s="61"/>
      <c r="S200" s="135"/>
      <c r="T200" s="135"/>
      <c r="V200" s="104"/>
      <c r="W200" s="104"/>
      <c r="X200" s="104"/>
      <c r="Y200" s="104"/>
    </row>
    <row r="201" spans="8:25">
      <c r="H201" s="61"/>
      <c r="I201" s="61"/>
      <c r="S201" s="135"/>
      <c r="T201" s="135"/>
      <c r="V201" s="104"/>
      <c r="W201" s="104"/>
      <c r="X201" s="104"/>
      <c r="Y201" s="104"/>
    </row>
    <row r="202" spans="8:25">
      <c r="H202" s="61"/>
      <c r="I202" s="61"/>
      <c r="S202" s="135"/>
      <c r="T202" s="135"/>
      <c r="V202" s="104"/>
      <c r="W202" s="104"/>
      <c r="X202" s="104"/>
      <c r="Y202" s="104"/>
    </row>
    <row r="203" spans="8:25">
      <c r="H203" s="61"/>
      <c r="I203" s="61"/>
      <c r="S203" s="135"/>
      <c r="T203" s="135"/>
      <c r="V203" s="104"/>
      <c r="W203" s="104"/>
      <c r="X203" s="104"/>
      <c r="Y203" s="104"/>
    </row>
    <row r="204" spans="8:25">
      <c r="H204" s="61"/>
      <c r="I204" s="61"/>
      <c r="S204" s="135"/>
      <c r="T204" s="135"/>
      <c r="V204" s="104"/>
      <c r="W204" s="104"/>
      <c r="X204" s="104"/>
      <c r="Y204" s="104"/>
    </row>
    <row r="205" spans="8:25">
      <c r="H205" s="61"/>
      <c r="I205" s="61"/>
      <c r="S205" s="135"/>
      <c r="T205" s="135"/>
      <c r="V205" s="104"/>
      <c r="W205" s="104"/>
      <c r="X205" s="104"/>
      <c r="Y205" s="104"/>
    </row>
    <row r="206" spans="8:25">
      <c r="H206" s="61"/>
      <c r="I206" s="61"/>
      <c r="S206" s="135"/>
      <c r="T206" s="135"/>
      <c r="V206" s="104"/>
      <c r="W206" s="104"/>
      <c r="X206" s="104"/>
      <c r="Y206" s="104"/>
    </row>
    <row r="207" spans="8:25">
      <c r="H207" s="61"/>
      <c r="I207" s="61"/>
      <c r="S207" s="135"/>
      <c r="T207" s="135"/>
      <c r="V207" s="104"/>
      <c r="W207" s="104"/>
      <c r="X207" s="104"/>
      <c r="Y207" s="104"/>
    </row>
    <row r="208" spans="8:25">
      <c r="H208" s="61"/>
      <c r="I208" s="61"/>
      <c r="S208" s="135"/>
      <c r="T208" s="135"/>
      <c r="V208" s="104"/>
      <c r="W208" s="104"/>
      <c r="X208" s="104"/>
      <c r="Y208" s="104"/>
    </row>
    <row r="209" spans="8:25">
      <c r="H209" s="61"/>
      <c r="I209" s="61"/>
      <c r="S209" s="135"/>
      <c r="T209" s="135"/>
      <c r="V209" s="104"/>
      <c r="W209" s="104"/>
      <c r="X209" s="104"/>
      <c r="Y209" s="104"/>
    </row>
    <row r="210" spans="8:25">
      <c r="H210" s="61"/>
      <c r="I210" s="61"/>
      <c r="S210" s="135"/>
      <c r="T210" s="135"/>
      <c r="V210" s="104"/>
      <c r="W210" s="104"/>
      <c r="X210" s="104"/>
      <c r="Y210" s="104"/>
    </row>
    <row r="211" spans="8:25">
      <c r="H211" s="61"/>
      <c r="I211" s="61"/>
      <c r="S211" s="135"/>
      <c r="T211" s="135"/>
      <c r="V211" s="104"/>
      <c r="W211" s="104"/>
      <c r="X211" s="104"/>
      <c r="Y211" s="104"/>
    </row>
    <row r="212" spans="8:25">
      <c r="H212" s="61"/>
      <c r="I212" s="61"/>
      <c r="S212" s="135"/>
      <c r="T212" s="135"/>
      <c r="V212" s="104"/>
      <c r="W212" s="104"/>
      <c r="X212" s="104"/>
      <c r="Y212" s="104"/>
    </row>
    <row r="213" spans="8:25">
      <c r="H213" s="61"/>
      <c r="I213" s="61"/>
      <c r="S213" s="135"/>
      <c r="T213" s="135"/>
      <c r="V213" s="104"/>
      <c r="W213" s="104"/>
      <c r="X213" s="104"/>
      <c r="Y213" s="104"/>
    </row>
    <row r="214" spans="8:25">
      <c r="H214" s="61"/>
      <c r="I214" s="61"/>
      <c r="S214" s="135"/>
      <c r="T214" s="135"/>
      <c r="V214" s="104"/>
      <c r="W214" s="104"/>
      <c r="X214" s="104"/>
      <c r="Y214" s="104"/>
    </row>
    <row r="215" spans="8:25">
      <c r="H215" s="61"/>
      <c r="I215" s="61"/>
      <c r="S215" s="135"/>
      <c r="T215" s="135"/>
      <c r="V215" s="104"/>
      <c r="W215" s="104"/>
      <c r="X215" s="104"/>
      <c r="Y215" s="104"/>
    </row>
    <row r="216" spans="8:25">
      <c r="H216" s="61"/>
      <c r="I216" s="61"/>
      <c r="S216" s="135"/>
      <c r="T216" s="135"/>
      <c r="V216" s="104"/>
      <c r="W216" s="104"/>
      <c r="X216" s="104"/>
      <c r="Y216" s="104"/>
    </row>
    <row r="217" spans="8:25">
      <c r="H217" s="61"/>
      <c r="I217" s="61"/>
      <c r="S217" s="135"/>
      <c r="T217" s="135"/>
      <c r="V217" s="104"/>
      <c r="W217" s="104"/>
      <c r="X217" s="104"/>
      <c r="Y217" s="104"/>
    </row>
    <row r="218" spans="8:25">
      <c r="H218" s="61"/>
      <c r="I218" s="61"/>
      <c r="S218" s="135"/>
      <c r="T218" s="135"/>
      <c r="V218" s="104"/>
      <c r="W218" s="104"/>
      <c r="X218" s="104"/>
      <c r="Y218" s="104"/>
    </row>
    <row r="219" spans="8:25">
      <c r="H219" s="61"/>
      <c r="I219" s="61"/>
      <c r="S219" s="135"/>
      <c r="T219" s="135"/>
      <c r="V219" s="104"/>
      <c r="W219" s="104"/>
      <c r="X219" s="104"/>
      <c r="Y219" s="104"/>
    </row>
    <row r="220" spans="8:25">
      <c r="H220" s="61"/>
      <c r="I220" s="61"/>
      <c r="S220" s="135"/>
      <c r="T220" s="135"/>
      <c r="V220" s="104"/>
      <c r="W220" s="104"/>
      <c r="X220" s="104"/>
      <c r="Y220" s="104"/>
    </row>
    <row r="221" spans="8:25">
      <c r="H221" s="61"/>
      <c r="I221" s="61"/>
      <c r="S221" s="135"/>
      <c r="T221" s="135"/>
      <c r="V221" s="104"/>
      <c r="W221" s="104"/>
      <c r="X221" s="104"/>
      <c r="Y221" s="104"/>
    </row>
    <row r="222" spans="8:25">
      <c r="H222" s="61"/>
      <c r="I222" s="61"/>
      <c r="S222" s="135"/>
      <c r="T222" s="135"/>
      <c r="V222" s="104"/>
      <c r="W222" s="104"/>
      <c r="X222" s="104"/>
      <c r="Y222" s="104"/>
    </row>
    <row r="223" spans="8:25">
      <c r="H223" s="61"/>
      <c r="I223" s="61"/>
      <c r="S223" s="135"/>
      <c r="T223" s="135"/>
      <c r="V223" s="104"/>
      <c r="W223" s="104"/>
      <c r="X223" s="104"/>
      <c r="Y223" s="104"/>
    </row>
    <row r="224" spans="8:25">
      <c r="H224" s="61"/>
      <c r="I224" s="61"/>
      <c r="S224" s="135"/>
      <c r="T224" s="135"/>
      <c r="V224" s="104"/>
      <c r="W224" s="104"/>
      <c r="X224" s="104"/>
      <c r="Y224" s="104"/>
    </row>
    <row r="225" spans="8:25">
      <c r="H225" s="61"/>
      <c r="I225" s="61"/>
      <c r="S225" s="135"/>
      <c r="T225" s="135"/>
      <c r="V225" s="104"/>
      <c r="W225" s="104"/>
      <c r="X225" s="104"/>
      <c r="Y225" s="104"/>
    </row>
    <row r="226" spans="8:25">
      <c r="H226" s="61"/>
      <c r="I226" s="61"/>
      <c r="S226" s="135"/>
      <c r="T226" s="135"/>
      <c r="V226" s="104"/>
      <c r="W226" s="104"/>
      <c r="X226" s="104"/>
      <c r="Y226" s="104"/>
    </row>
    <row r="227" spans="8:25">
      <c r="H227" s="61"/>
      <c r="I227" s="61"/>
      <c r="S227" s="135"/>
      <c r="T227" s="135"/>
      <c r="V227" s="104"/>
      <c r="W227" s="104"/>
      <c r="X227" s="104"/>
      <c r="Y227" s="104"/>
    </row>
    <row r="228" spans="8:25">
      <c r="H228" s="61"/>
      <c r="I228" s="61"/>
      <c r="S228" s="135"/>
      <c r="T228" s="135"/>
      <c r="V228" s="104"/>
      <c r="W228" s="104"/>
      <c r="X228" s="104"/>
      <c r="Y228" s="104"/>
    </row>
    <row r="229" spans="8:25">
      <c r="H229" s="61"/>
      <c r="I229" s="61"/>
      <c r="S229" s="135"/>
      <c r="T229" s="135"/>
      <c r="V229" s="104"/>
      <c r="W229" s="104"/>
      <c r="X229" s="104"/>
      <c r="Y229" s="104"/>
    </row>
    <row r="230" spans="8:25">
      <c r="H230" s="61"/>
      <c r="I230" s="61"/>
      <c r="S230" s="135"/>
      <c r="T230" s="135"/>
      <c r="V230" s="104"/>
      <c r="W230" s="104"/>
      <c r="X230" s="104"/>
      <c r="Y230" s="104"/>
    </row>
    <row r="231" spans="8:25">
      <c r="H231" s="61"/>
      <c r="I231" s="61"/>
      <c r="S231" s="135"/>
      <c r="T231" s="135"/>
      <c r="V231" s="104"/>
      <c r="W231" s="104"/>
      <c r="X231" s="104"/>
      <c r="Y231" s="104"/>
    </row>
    <row r="232" spans="8:25">
      <c r="H232" s="61"/>
      <c r="I232" s="61"/>
      <c r="S232" s="135"/>
      <c r="T232" s="135"/>
      <c r="V232" s="104"/>
      <c r="W232" s="104"/>
      <c r="X232" s="104"/>
      <c r="Y232" s="104"/>
    </row>
    <row r="233" spans="8:25">
      <c r="H233" s="61"/>
      <c r="I233" s="61"/>
      <c r="S233" s="135"/>
      <c r="T233" s="135"/>
      <c r="V233" s="104"/>
      <c r="W233" s="104"/>
      <c r="X233" s="104"/>
      <c r="Y233" s="104"/>
    </row>
    <row r="234" spans="8:25">
      <c r="H234" s="61"/>
      <c r="I234" s="61"/>
      <c r="S234" s="135"/>
      <c r="T234" s="135"/>
      <c r="V234" s="104"/>
      <c r="W234" s="104"/>
      <c r="X234" s="104"/>
      <c r="Y234" s="104"/>
    </row>
    <row r="235" spans="8:25">
      <c r="H235" s="61"/>
      <c r="I235" s="61"/>
      <c r="S235" s="135"/>
      <c r="T235" s="135"/>
      <c r="V235" s="104"/>
      <c r="W235" s="104"/>
      <c r="X235" s="104"/>
      <c r="Y235" s="104"/>
    </row>
    <row r="236" spans="8:25">
      <c r="H236" s="61"/>
      <c r="I236" s="61"/>
      <c r="S236" s="135"/>
      <c r="T236" s="135"/>
      <c r="V236" s="104"/>
      <c r="W236" s="104"/>
      <c r="X236" s="104"/>
      <c r="Y236" s="104"/>
    </row>
    <row r="237" spans="8:25">
      <c r="H237" s="61"/>
      <c r="I237" s="61"/>
      <c r="S237" s="135"/>
      <c r="T237" s="135"/>
      <c r="V237" s="104"/>
      <c r="W237" s="104"/>
      <c r="X237" s="104"/>
      <c r="Y237" s="104"/>
    </row>
    <row r="238" spans="8:25">
      <c r="H238" s="61"/>
      <c r="I238" s="61"/>
      <c r="S238" s="135"/>
      <c r="T238" s="135"/>
      <c r="V238" s="104"/>
      <c r="W238" s="104"/>
      <c r="X238" s="104"/>
      <c r="Y238" s="104"/>
    </row>
    <row r="239" spans="8:25">
      <c r="H239" s="61"/>
      <c r="I239" s="61"/>
      <c r="S239" s="135"/>
      <c r="T239" s="135"/>
      <c r="V239" s="104"/>
      <c r="W239" s="104"/>
      <c r="X239" s="104"/>
      <c r="Y239" s="104"/>
    </row>
    <row r="240" spans="8:25">
      <c r="H240" s="61"/>
      <c r="I240" s="61"/>
      <c r="S240" s="135"/>
      <c r="T240" s="135"/>
      <c r="V240" s="104"/>
      <c r="W240" s="104"/>
      <c r="X240" s="104"/>
      <c r="Y240" s="104"/>
    </row>
    <row r="241" spans="8:25">
      <c r="H241" s="61"/>
      <c r="I241" s="61"/>
      <c r="S241" s="135"/>
      <c r="T241" s="135"/>
      <c r="V241" s="104"/>
      <c r="W241" s="104"/>
      <c r="X241" s="104"/>
      <c r="Y241" s="104"/>
    </row>
    <row r="242" spans="8:25">
      <c r="H242" s="61"/>
      <c r="I242" s="61"/>
      <c r="S242" s="135"/>
      <c r="T242" s="135"/>
      <c r="V242" s="104"/>
      <c r="W242" s="104"/>
      <c r="X242" s="104"/>
      <c r="Y242" s="104"/>
    </row>
    <row r="243" spans="8:25">
      <c r="H243" s="61"/>
      <c r="I243" s="61"/>
      <c r="S243" s="135"/>
      <c r="T243" s="135"/>
      <c r="V243" s="104"/>
      <c r="W243" s="104"/>
      <c r="X243" s="104"/>
      <c r="Y243" s="104"/>
    </row>
    <row r="244" spans="8:25">
      <c r="H244" s="61"/>
      <c r="I244" s="61"/>
      <c r="S244" s="135"/>
      <c r="T244" s="135"/>
      <c r="V244" s="104"/>
      <c r="W244" s="104"/>
      <c r="X244" s="104"/>
      <c r="Y244" s="104"/>
    </row>
    <row r="245" spans="8:25">
      <c r="H245" s="61"/>
      <c r="I245" s="61"/>
      <c r="S245" s="135"/>
      <c r="T245" s="135"/>
      <c r="V245" s="104"/>
      <c r="W245" s="104"/>
      <c r="X245" s="104"/>
      <c r="Y245" s="104"/>
    </row>
    <row r="246" spans="8:25">
      <c r="H246" s="61"/>
      <c r="I246" s="61"/>
      <c r="S246" s="135"/>
      <c r="T246" s="135"/>
      <c r="V246" s="104"/>
      <c r="W246" s="104"/>
      <c r="X246" s="104"/>
      <c r="Y246" s="104"/>
    </row>
    <row r="247" spans="8:25">
      <c r="H247" s="61"/>
      <c r="I247" s="61"/>
      <c r="S247" s="135"/>
      <c r="T247" s="135"/>
      <c r="V247" s="104"/>
      <c r="W247" s="104"/>
      <c r="X247" s="104"/>
      <c r="Y247" s="104"/>
    </row>
    <row r="248" spans="8:25">
      <c r="H248" s="61"/>
      <c r="I248" s="61"/>
      <c r="S248" s="135"/>
      <c r="T248" s="135"/>
      <c r="V248" s="104"/>
      <c r="W248" s="104"/>
      <c r="X248" s="104"/>
      <c r="Y248" s="104"/>
    </row>
    <row r="249" spans="8:25">
      <c r="H249" s="61"/>
      <c r="I249" s="61"/>
      <c r="S249" s="135"/>
      <c r="T249" s="135"/>
      <c r="V249" s="104"/>
      <c r="W249" s="104"/>
      <c r="X249" s="104"/>
      <c r="Y249" s="104"/>
    </row>
    <row r="250" spans="8:25">
      <c r="H250" s="61"/>
      <c r="I250" s="61"/>
      <c r="S250" s="135"/>
      <c r="T250" s="135"/>
      <c r="V250" s="104"/>
      <c r="W250" s="104"/>
      <c r="X250" s="104"/>
      <c r="Y250" s="104"/>
    </row>
    <row r="251" spans="8:25">
      <c r="H251" s="61"/>
      <c r="I251" s="61"/>
      <c r="S251" s="135"/>
      <c r="T251" s="135"/>
      <c r="V251" s="104"/>
      <c r="W251" s="104"/>
      <c r="X251" s="104"/>
      <c r="Y251" s="104"/>
    </row>
    <row r="252" spans="8:25">
      <c r="H252" s="61"/>
      <c r="I252" s="61"/>
      <c r="S252" s="135"/>
      <c r="T252" s="135"/>
      <c r="V252" s="104"/>
      <c r="W252" s="104"/>
      <c r="X252" s="104"/>
      <c r="Y252" s="104"/>
    </row>
    <row r="253" spans="8:25">
      <c r="H253" s="61"/>
      <c r="I253" s="61"/>
      <c r="S253" s="135"/>
      <c r="T253" s="135"/>
      <c r="V253" s="104"/>
      <c r="W253" s="104"/>
      <c r="X253" s="104"/>
      <c r="Y253" s="104"/>
    </row>
    <row r="254" spans="8:25">
      <c r="H254" s="61"/>
      <c r="I254" s="61"/>
      <c r="V254" s="104"/>
      <c r="W254" s="104"/>
      <c r="X254" s="104"/>
      <c r="Y254" s="104"/>
    </row>
    <row r="255" spans="8:25">
      <c r="H255" s="61"/>
      <c r="I255" s="61"/>
      <c r="V255" s="104"/>
      <c r="W255" s="104"/>
      <c r="X255" s="104"/>
      <c r="Y255" s="104"/>
    </row>
    <row r="256" spans="8:25">
      <c r="H256" s="61"/>
      <c r="I256" s="61"/>
      <c r="V256" s="104"/>
      <c r="W256" s="104"/>
      <c r="X256" s="104"/>
      <c r="Y256" s="104"/>
    </row>
    <row r="257" spans="8:25">
      <c r="H257" s="61"/>
      <c r="I257" s="61"/>
      <c r="V257" s="104"/>
      <c r="W257" s="104"/>
      <c r="X257" s="104"/>
      <c r="Y257" s="104"/>
    </row>
    <row r="258" spans="8:25">
      <c r="H258" s="61"/>
      <c r="I258" s="61"/>
      <c r="V258" s="104"/>
      <c r="W258" s="104"/>
      <c r="X258" s="104"/>
      <c r="Y258" s="104"/>
    </row>
    <row r="259" spans="8:25">
      <c r="H259" s="61"/>
      <c r="I259" s="61"/>
      <c r="V259" s="104"/>
      <c r="W259" s="104"/>
      <c r="X259" s="104"/>
      <c r="Y259" s="104"/>
    </row>
    <row r="260" spans="8:25">
      <c r="H260" s="61"/>
      <c r="I260" s="61"/>
      <c r="V260" s="104"/>
      <c r="W260" s="104"/>
      <c r="X260" s="104"/>
      <c r="Y260" s="104"/>
    </row>
    <row r="261" spans="8:25">
      <c r="H261" s="61"/>
      <c r="I261" s="61"/>
      <c r="V261" s="104"/>
      <c r="W261" s="104"/>
      <c r="X261" s="104"/>
      <c r="Y261" s="104"/>
    </row>
    <row r="262" spans="8:25">
      <c r="H262" s="61"/>
      <c r="I262" s="61"/>
      <c r="V262" s="104"/>
      <c r="W262" s="104"/>
      <c r="X262" s="104"/>
      <c r="Y262" s="104"/>
    </row>
    <row r="263" spans="8:25">
      <c r="H263" s="61"/>
      <c r="I263" s="61"/>
      <c r="V263" s="104"/>
      <c r="W263" s="104"/>
      <c r="X263" s="104"/>
      <c r="Y263" s="104"/>
    </row>
    <row r="264" spans="8:25">
      <c r="H264" s="61"/>
      <c r="I264" s="61"/>
      <c r="V264" s="104"/>
      <c r="W264" s="104"/>
      <c r="X264" s="104"/>
      <c r="Y264" s="104"/>
    </row>
    <row r="265" spans="8:25">
      <c r="H265" s="61"/>
      <c r="I265" s="61"/>
      <c r="V265" s="104"/>
      <c r="W265" s="104"/>
      <c r="X265" s="104"/>
      <c r="Y265" s="104"/>
    </row>
    <row r="266" spans="8:25">
      <c r="H266" s="61"/>
      <c r="I266" s="61"/>
      <c r="V266" s="104"/>
      <c r="W266" s="104"/>
      <c r="X266" s="104"/>
      <c r="Y266" s="104"/>
    </row>
    <row r="267" spans="8:25">
      <c r="H267" s="61"/>
      <c r="I267" s="61"/>
      <c r="V267" s="104"/>
      <c r="W267" s="104"/>
      <c r="X267" s="104"/>
      <c r="Y267" s="104"/>
    </row>
    <row r="268" spans="8:25">
      <c r="H268" s="61"/>
      <c r="I268" s="61"/>
      <c r="V268" s="104"/>
      <c r="W268" s="104"/>
      <c r="X268" s="104"/>
      <c r="Y268" s="104"/>
    </row>
    <row r="269" spans="8:25">
      <c r="H269" s="61"/>
      <c r="I269" s="61"/>
      <c r="V269" s="104"/>
      <c r="W269" s="104"/>
      <c r="X269" s="104"/>
      <c r="Y269" s="104"/>
    </row>
    <row r="270" spans="8:25">
      <c r="H270" s="61"/>
      <c r="I270" s="61"/>
      <c r="V270" s="104"/>
      <c r="W270" s="104"/>
      <c r="X270" s="104"/>
      <c r="Y270" s="104"/>
    </row>
    <row r="271" spans="8:25">
      <c r="H271" s="61"/>
      <c r="I271" s="61"/>
      <c r="V271" s="104"/>
      <c r="W271" s="104"/>
      <c r="X271" s="104"/>
      <c r="Y271" s="104"/>
    </row>
    <row r="272" spans="8:25">
      <c r="H272" s="61"/>
      <c r="I272" s="61"/>
      <c r="V272" s="104"/>
      <c r="W272" s="104"/>
      <c r="X272" s="104"/>
      <c r="Y272" s="104"/>
    </row>
    <row r="273" spans="8:25">
      <c r="H273" s="61"/>
      <c r="I273" s="61"/>
      <c r="V273" s="104"/>
      <c r="W273" s="104"/>
      <c r="X273" s="104"/>
      <c r="Y273" s="104"/>
    </row>
    <row r="274" spans="8:25">
      <c r="H274" s="61"/>
      <c r="I274" s="61"/>
      <c r="V274" s="104"/>
      <c r="W274" s="104"/>
      <c r="X274" s="104"/>
      <c r="Y274" s="104"/>
    </row>
    <row r="275" spans="8:25">
      <c r="H275" s="61"/>
      <c r="I275" s="61"/>
      <c r="V275" s="104"/>
      <c r="W275" s="104"/>
      <c r="X275" s="104"/>
      <c r="Y275" s="104"/>
    </row>
    <row r="276" spans="8:25">
      <c r="H276" s="61"/>
      <c r="I276" s="61"/>
      <c r="V276" s="104"/>
      <c r="W276" s="104"/>
      <c r="X276" s="104"/>
      <c r="Y276" s="104"/>
    </row>
    <row r="277" spans="8:25">
      <c r="H277" s="61"/>
      <c r="I277" s="61"/>
      <c r="V277" s="104"/>
      <c r="W277" s="104"/>
      <c r="X277" s="104"/>
      <c r="Y277" s="104"/>
    </row>
    <row r="278" spans="8:25">
      <c r="H278" s="61"/>
      <c r="I278" s="61"/>
      <c r="V278" s="104"/>
      <c r="W278" s="104"/>
      <c r="X278" s="104"/>
      <c r="Y278" s="104"/>
    </row>
    <row r="279" spans="8:25">
      <c r="H279" s="61"/>
      <c r="I279" s="61"/>
      <c r="V279" s="104"/>
      <c r="W279" s="104"/>
      <c r="X279" s="104"/>
      <c r="Y279" s="104"/>
    </row>
    <row r="280" spans="8:25">
      <c r="H280" s="61"/>
      <c r="I280" s="61"/>
      <c r="V280" s="104"/>
      <c r="W280" s="104"/>
      <c r="X280" s="104"/>
      <c r="Y280" s="104"/>
    </row>
    <row r="281" spans="8:25">
      <c r="H281" s="61"/>
      <c r="I281" s="61"/>
      <c r="V281" s="104"/>
      <c r="W281" s="104"/>
      <c r="X281" s="104"/>
      <c r="Y281" s="104"/>
    </row>
    <row r="282" spans="8:25">
      <c r="H282" s="61"/>
      <c r="I282" s="61"/>
      <c r="V282" s="104"/>
      <c r="W282" s="104"/>
      <c r="X282" s="104"/>
      <c r="Y282" s="104"/>
    </row>
    <row r="283" spans="8:25">
      <c r="H283" s="61"/>
      <c r="I283" s="61"/>
      <c r="V283" s="104"/>
      <c r="W283" s="104"/>
      <c r="X283" s="104"/>
      <c r="Y283" s="104"/>
    </row>
    <row r="284" spans="8:25">
      <c r="H284" s="61"/>
      <c r="I284" s="61"/>
      <c r="V284" s="104"/>
      <c r="W284" s="104"/>
      <c r="X284" s="104"/>
      <c r="Y284" s="104"/>
    </row>
    <row r="285" spans="8:25">
      <c r="H285" s="61"/>
      <c r="I285" s="61"/>
      <c r="V285" s="104"/>
      <c r="W285" s="104"/>
      <c r="X285" s="104"/>
      <c r="Y285" s="104"/>
    </row>
    <row r="286" spans="8:25">
      <c r="H286" s="61"/>
      <c r="I286" s="61"/>
      <c r="V286" s="104"/>
      <c r="W286" s="104"/>
      <c r="X286" s="104"/>
      <c r="Y286" s="104"/>
    </row>
    <row r="287" spans="8:25">
      <c r="H287" s="61"/>
      <c r="I287" s="61"/>
      <c r="V287" s="104"/>
      <c r="W287" s="104"/>
      <c r="X287" s="104"/>
      <c r="Y287" s="104"/>
    </row>
    <row r="288" spans="8:25">
      <c r="H288" s="61"/>
      <c r="I288" s="61"/>
      <c r="V288" s="104"/>
      <c r="W288" s="104"/>
      <c r="X288" s="104"/>
      <c r="Y288" s="104"/>
    </row>
    <row r="289" spans="8:25">
      <c r="H289" s="61"/>
      <c r="I289" s="61"/>
      <c r="V289" s="104"/>
      <c r="W289" s="104"/>
      <c r="X289" s="104"/>
      <c r="Y289" s="104"/>
    </row>
    <row r="290" spans="8:25">
      <c r="H290" s="61"/>
      <c r="I290" s="61"/>
      <c r="V290" s="104"/>
      <c r="W290" s="104"/>
      <c r="X290" s="104"/>
      <c r="Y290" s="104"/>
    </row>
    <row r="291" spans="8:25">
      <c r="H291" s="61"/>
      <c r="I291" s="61"/>
      <c r="V291" s="104"/>
      <c r="W291" s="104"/>
      <c r="X291" s="104"/>
      <c r="Y291" s="104"/>
    </row>
    <row r="292" spans="8:25">
      <c r="H292" s="61"/>
      <c r="I292" s="61"/>
      <c r="V292" s="104"/>
      <c r="W292" s="104"/>
      <c r="X292" s="104"/>
      <c r="Y292" s="104"/>
    </row>
    <row r="293" spans="8:25">
      <c r="H293" s="61"/>
      <c r="I293" s="61"/>
      <c r="V293" s="104"/>
      <c r="W293" s="104"/>
      <c r="X293" s="104"/>
      <c r="Y293" s="104"/>
    </row>
    <row r="294" spans="8:25">
      <c r="H294" s="61"/>
      <c r="I294" s="61"/>
      <c r="V294" s="104"/>
      <c r="W294" s="104"/>
      <c r="X294" s="104"/>
      <c r="Y294" s="104"/>
    </row>
    <row r="295" spans="8:25">
      <c r="H295" s="61"/>
      <c r="I295" s="61"/>
      <c r="V295" s="104"/>
      <c r="W295" s="104"/>
      <c r="X295" s="104"/>
      <c r="Y295" s="104"/>
    </row>
    <row r="296" spans="8:25">
      <c r="H296" s="61"/>
      <c r="I296" s="61"/>
      <c r="V296" s="104"/>
      <c r="W296" s="104"/>
      <c r="X296" s="104"/>
      <c r="Y296" s="104"/>
    </row>
    <row r="297" spans="8:25">
      <c r="H297" s="61"/>
      <c r="I297" s="61"/>
      <c r="V297" s="104"/>
      <c r="W297" s="104"/>
      <c r="X297" s="104"/>
      <c r="Y297" s="104"/>
    </row>
    <row r="298" spans="8:25">
      <c r="H298" s="61"/>
      <c r="I298" s="61"/>
      <c r="V298" s="104"/>
      <c r="W298" s="104"/>
      <c r="X298" s="104"/>
      <c r="Y298" s="104"/>
    </row>
    <row r="299" spans="8:25">
      <c r="H299" s="61"/>
      <c r="I299" s="61"/>
      <c r="V299" s="104"/>
      <c r="W299" s="104"/>
      <c r="X299" s="104"/>
      <c r="Y299" s="104"/>
    </row>
    <row r="300" spans="8:25">
      <c r="H300" s="61"/>
      <c r="I300" s="61"/>
      <c r="V300" s="104"/>
      <c r="W300" s="104"/>
      <c r="X300" s="104"/>
      <c r="Y300" s="104"/>
    </row>
    <row r="301" spans="8:25">
      <c r="H301" s="61"/>
      <c r="I301" s="61"/>
      <c r="V301" s="104"/>
      <c r="W301" s="104"/>
      <c r="X301" s="104"/>
      <c r="Y301" s="104"/>
    </row>
    <row r="302" spans="8:25">
      <c r="H302" s="61"/>
      <c r="I302" s="61"/>
      <c r="V302" s="104"/>
      <c r="W302" s="104"/>
      <c r="X302" s="104"/>
      <c r="Y302" s="104"/>
    </row>
    <row r="303" spans="8:25">
      <c r="H303" s="61"/>
      <c r="I303" s="61"/>
      <c r="V303" s="104"/>
      <c r="W303" s="104"/>
      <c r="X303" s="104"/>
      <c r="Y303" s="104"/>
    </row>
    <row r="304" spans="8:25">
      <c r="H304" s="61"/>
      <c r="I304" s="61"/>
      <c r="V304" s="104"/>
      <c r="W304" s="104"/>
      <c r="X304" s="104"/>
      <c r="Y304" s="104"/>
    </row>
    <row r="305" spans="8:25">
      <c r="H305" s="61"/>
      <c r="I305" s="61"/>
      <c r="V305" s="104"/>
      <c r="W305" s="104"/>
      <c r="X305" s="104"/>
      <c r="Y305" s="104"/>
    </row>
    <row r="306" spans="8:25">
      <c r="H306" s="61"/>
      <c r="I306" s="61"/>
      <c r="V306" s="104"/>
      <c r="W306" s="104"/>
      <c r="X306" s="104"/>
      <c r="Y306" s="104"/>
    </row>
    <row r="307" spans="8:25">
      <c r="H307" s="61"/>
      <c r="I307" s="61"/>
      <c r="V307" s="104"/>
      <c r="W307" s="104"/>
      <c r="X307" s="104"/>
      <c r="Y307" s="104"/>
    </row>
    <row r="308" spans="8:25">
      <c r="H308" s="61"/>
      <c r="I308" s="61"/>
      <c r="V308" s="104"/>
      <c r="W308" s="104"/>
      <c r="X308" s="104"/>
      <c r="Y308" s="104"/>
    </row>
    <row r="309" spans="8:25">
      <c r="H309" s="61"/>
      <c r="I309" s="61"/>
      <c r="V309" s="104"/>
      <c r="W309" s="104"/>
      <c r="X309" s="104"/>
      <c r="Y309" s="104"/>
    </row>
    <row r="310" spans="8:25">
      <c r="H310" s="61"/>
      <c r="I310" s="61"/>
      <c r="V310" s="104"/>
      <c r="W310" s="104"/>
      <c r="X310" s="104"/>
      <c r="Y310" s="104"/>
    </row>
    <row r="311" spans="8:25">
      <c r="H311" s="61"/>
      <c r="I311" s="61"/>
      <c r="V311" s="104"/>
      <c r="W311" s="104"/>
      <c r="X311" s="104"/>
      <c r="Y311" s="104"/>
    </row>
    <row r="312" spans="8:25">
      <c r="H312" s="61"/>
      <c r="I312" s="61"/>
      <c r="V312" s="104"/>
      <c r="W312" s="104"/>
      <c r="X312" s="104"/>
      <c r="Y312" s="104"/>
    </row>
    <row r="313" spans="8:25">
      <c r="H313" s="61"/>
      <c r="I313" s="61"/>
      <c r="V313" s="104"/>
      <c r="W313" s="104"/>
      <c r="X313" s="104"/>
      <c r="Y313" s="104"/>
    </row>
    <row r="314" spans="8:25">
      <c r="H314" s="61"/>
      <c r="I314" s="61"/>
      <c r="V314" s="104"/>
      <c r="W314" s="104"/>
      <c r="X314" s="104"/>
      <c r="Y314" s="104"/>
    </row>
    <row r="315" spans="8:25">
      <c r="H315" s="61"/>
      <c r="I315" s="61"/>
      <c r="V315" s="104"/>
      <c r="W315" s="104"/>
      <c r="X315" s="104"/>
      <c r="Y315" s="104"/>
    </row>
    <row r="316" spans="8:25">
      <c r="H316" s="61"/>
      <c r="I316" s="61"/>
      <c r="V316" s="104"/>
      <c r="W316" s="104"/>
      <c r="X316" s="104"/>
      <c r="Y316" s="104"/>
    </row>
    <row r="317" spans="8:25">
      <c r="H317" s="61"/>
      <c r="I317" s="61"/>
      <c r="V317" s="104"/>
      <c r="W317" s="104"/>
      <c r="X317" s="104"/>
      <c r="Y317" s="104"/>
    </row>
    <row r="318" spans="8:25">
      <c r="H318" s="61"/>
      <c r="I318" s="61"/>
      <c r="V318" s="104"/>
      <c r="W318" s="104"/>
      <c r="X318" s="104"/>
      <c r="Y318" s="104"/>
    </row>
    <row r="319" spans="8:25">
      <c r="H319" s="61"/>
      <c r="I319" s="61"/>
      <c r="V319" s="104"/>
      <c r="W319" s="104"/>
      <c r="X319" s="104"/>
      <c r="Y319" s="104"/>
    </row>
    <row r="320" spans="8:25">
      <c r="H320" s="61"/>
      <c r="I320" s="61"/>
      <c r="V320" s="104"/>
      <c r="W320" s="104"/>
      <c r="X320" s="104"/>
      <c r="Y320" s="104"/>
    </row>
    <row r="321" spans="8:25">
      <c r="H321" s="61"/>
      <c r="I321" s="61"/>
      <c r="V321" s="104"/>
      <c r="W321" s="104"/>
      <c r="X321" s="104"/>
      <c r="Y321" s="104"/>
    </row>
    <row r="322" spans="8:25">
      <c r="H322" s="61"/>
      <c r="I322" s="61"/>
      <c r="V322" s="104"/>
      <c r="W322" s="104"/>
      <c r="X322" s="104"/>
      <c r="Y322" s="104"/>
    </row>
    <row r="323" spans="8:25">
      <c r="H323" s="61"/>
      <c r="I323" s="61"/>
      <c r="V323" s="104"/>
      <c r="W323" s="104"/>
      <c r="X323" s="104"/>
      <c r="Y323" s="104"/>
    </row>
    <row r="324" spans="8:25">
      <c r="H324" s="61"/>
      <c r="I324" s="61"/>
      <c r="V324" s="104"/>
      <c r="W324" s="104"/>
      <c r="X324" s="104"/>
      <c r="Y324" s="104"/>
    </row>
    <row r="325" spans="8:25">
      <c r="H325" s="61"/>
      <c r="I325" s="61"/>
      <c r="V325" s="104"/>
      <c r="W325" s="104"/>
      <c r="X325" s="104"/>
      <c r="Y325" s="104"/>
    </row>
    <row r="326" spans="8:25">
      <c r="H326" s="61"/>
      <c r="I326" s="61"/>
      <c r="V326" s="104"/>
      <c r="W326" s="104"/>
      <c r="X326" s="104"/>
      <c r="Y326" s="104"/>
    </row>
    <row r="327" spans="8:25">
      <c r="H327" s="61"/>
      <c r="I327" s="61"/>
      <c r="V327" s="104"/>
      <c r="W327" s="104"/>
      <c r="X327" s="104"/>
      <c r="Y327" s="104"/>
    </row>
    <row r="328" spans="8:25">
      <c r="H328" s="61"/>
      <c r="I328" s="61"/>
      <c r="V328" s="104"/>
      <c r="W328" s="104"/>
      <c r="X328" s="104"/>
      <c r="Y328" s="104"/>
    </row>
    <row r="329" spans="8:25">
      <c r="H329" s="61"/>
      <c r="I329" s="61"/>
      <c r="V329" s="104"/>
      <c r="W329" s="104"/>
      <c r="X329" s="104"/>
      <c r="Y329" s="104"/>
    </row>
    <row r="330" spans="8:25">
      <c r="H330" s="61"/>
      <c r="I330" s="61"/>
      <c r="V330" s="104"/>
      <c r="W330" s="104"/>
      <c r="X330" s="104"/>
      <c r="Y330" s="104"/>
    </row>
    <row r="331" spans="8:25">
      <c r="H331" s="61"/>
      <c r="I331" s="61"/>
      <c r="V331" s="104"/>
      <c r="W331" s="104"/>
      <c r="X331" s="104"/>
      <c r="Y331" s="104"/>
    </row>
    <row r="332" spans="8:25">
      <c r="H332" s="61"/>
      <c r="I332" s="61"/>
      <c r="V332" s="104"/>
      <c r="W332" s="104"/>
      <c r="X332" s="104"/>
      <c r="Y332" s="104"/>
    </row>
    <row r="333" spans="8:25">
      <c r="H333" s="61"/>
      <c r="I333" s="61"/>
      <c r="V333" s="104"/>
      <c r="W333" s="104"/>
      <c r="X333" s="104"/>
      <c r="Y333" s="104"/>
    </row>
    <row r="334" spans="8:25">
      <c r="H334" s="61"/>
      <c r="I334" s="61"/>
      <c r="V334" s="104"/>
      <c r="W334" s="104"/>
      <c r="X334" s="104"/>
      <c r="Y334" s="104"/>
    </row>
    <row r="335" spans="8:25">
      <c r="H335" s="61"/>
      <c r="I335" s="61"/>
      <c r="V335" s="104"/>
      <c r="W335" s="104"/>
      <c r="X335" s="104"/>
      <c r="Y335" s="104"/>
    </row>
    <row r="336" spans="8:25">
      <c r="H336" s="61"/>
      <c r="I336" s="61"/>
      <c r="V336" s="104"/>
      <c r="W336" s="104"/>
      <c r="X336" s="104"/>
      <c r="Y336" s="104"/>
    </row>
    <row r="337" spans="8:25">
      <c r="H337" s="61"/>
      <c r="I337" s="61"/>
      <c r="V337" s="104"/>
      <c r="W337" s="104"/>
      <c r="X337" s="104"/>
      <c r="Y337" s="104"/>
    </row>
    <row r="338" spans="8:25">
      <c r="H338" s="61"/>
      <c r="I338" s="61"/>
      <c r="V338" s="104"/>
      <c r="W338" s="104"/>
      <c r="X338" s="104"/>
      <c r="Y338" s="104"/>
    </row>
    <row r="339" spans="8:25">
      <c r="H339" s="61"/>
      <c r="I339" s="61"/>
      <c r="V339" s="104"/>
      <c r="W339" s="104"/>
      <c r="X339" s="104"/>
      <c r="Y339" s="104"/>
    </row>
    <row r="340" spans="8:25">
      <c r="H340" s="61"/>
      <c r="I340" s="61"/>
      <c r="V340" s="104"/>
      <c r="W340" s="104"/>
      <c r="X340" s="104"/>
      <c r="Y340" s="104"/>
    </row>
    <row r="341" spans="8:25">
      <c r="H341" s="61"/>
      <c r="I341" s="61"/>
      <c r="V341" s="104"/>
      <c r="W341" s="104"/>
      <c r="X341" s="104"/>
      <c r="Y341" s="104"/>
    </row>
    <row r="342" spans="8:25">
      <c r="H342" s="61"/>
      <c r="I342" s="61"/>
      <c r="V342" s="104"/>
      <c r="W342" s="104"/>
      <c r="X342" s="104"/>
      <c r="Y342" s="104"/>
    </row>
    <row r="343" spans="8:25">
      <c r="H343" s="61"/>
      <c r="I343" s="61"/>
      <c r="V343" s="104"/>
      <c r="W343" s="104"/>
      <c r="X343" s="104"/>
      <c r="Y343" s="104"/>
    </row>
    <row r="344" spans="8:25">
      <c r="H344" s="61"/>
      <c r="I344" s="61"/>
      <c r="V344" s="104"/>
      <c r="W344" s="104"/>
      <c r="X344" s="104"/>
      <c r="Y344" s="104"/>
    </row>
    <row r="345" spans="8:25">
      <c r="H345" s="61"/>
      <c r="I345" s="61"/>
      <c r="V345" s="104"/>
      <c r="W345" s="104"/>
      <c r="X345" s="104"/>
      <c r="Y345" s="104"/>
    </row>
    <row r="346" spans="8:25">
      <c r="H346" s="61"/>
      <c r="I346" s="61"/>
      <c r="V346" s="104"/>
      <c r="W346" s="104"/>
      <c r="X346" s="104"/>
      <c r="Y346" s="104"/>
    </row>
    <row r="347" spans="8:25">
      <c r="H347" s="61"/>
      <c r="I347" s="61"/>
      <c r="V347" s="104"/>
      <c r="W347" s="104"/>
      <c r="X347" s="104"/>
      <c r="Y347" s="104"/>
    </row>
    <row r="348" spans="8:25">
      <c r="H348" s="61"/>
      <c r="I348" s="61"/>
      <c r="V348" s="104"/>
      <c r="W348" s="104"/>
      <c r="X348" s="104"/>
      <c r="Y348" s="104"/>
    </row>
    <row r="349" spans="8:25">
      <c r="H349" s="61"/>
      <c r="I349" s="61"/>
      <c r="V349" s="104"/>
      <c r="W349" s="104"/>
      <c r="X349" s="104"/>
      <c r="Y349" s="104"/>
    </row>
    <row r="350" spans="8:25">
      <c r="H350" s="61"/>
      <c r="I350" s="61"/>
      <c r="V350" s="104"/>
      <c r="W350" s="104"/>
      <c r="X350" s="104"/>
      <c r="Y350" s="104"/>
    </row>
    <row r="351" spans="8:25">
      <c r="H351" s="61"/>
      <c r="I351" s="61"/>
      <c r="V351" s="104"/>
      <c r="W351" s="104"/>
      <c r="X351" s="104"/>
      <c r="Y351" s="104"/>
    </row>
    <row r="352" spans="8:25">
      <c r="H352" s="61"/>
      <c r="I352" s="61"/>
      <c r="V352" s="104"/>
      <c r="W352" s="104"/>
      <c r="X352" s="104"/>
      <c r="Y352" s="104"/>
    </row>
    <row r="353" spans="8:25">
      <c r="H353" s="61"/>
      <c r="I353" s="61"/>
      <c r="V353" s="104"/>
      <c r="W353" s="104"/>
      <c r="X353" s="104"/>
      <c r="Y353" s="104"/>
    </row>
    <row r="354" spans="8:25">
      <c r="H354" s="61"/>
      <c r="I354" s="61"/>
      <c r="V354" s="104"/>
      <c r="W354" s="104"/>
      <c r="X354" s="104"/>
      <c r="Y354" s="104"/>
    </row>
    <row r="355" spans="8:25">
      <c r="H355" s="61"/>
      <c r="I355" s="61"/>
      <c r="V355" s="104"/>
      <c r="W355" s="104"/>
      <c r="X355" s="104"/>
      <c r="Y355" s="104"/>
    </row>
    <row r="356" spans="8:25">
      <c r="H356" s="61"/>
      <c r="I356" s="61"/>
      <c r="V356" s="104"/>
      <c r="W356" s="104"/>
      <c r="X356" s="104"/>
      <c r="Y356" s="104"/>
    </row>
    <row r="357" spans="8:25">
      <c r="H357" s="61"/>
      <c r="I357" s="61"/>
      <c r="V357" s="104"/>
      <c r="W357" s="104"/>
      <c r="X357" s="104"/>
      <c r="Y357" s="104"/>
    </row>
    <row r="358" spans="8:25">
      <c r="H358" s="61"/>
      <c r="I358" s="61"/>
      <c r="V358" s="104"/>
      <c r="W358" s="104"/>
      <c r="X358" s="104"/>
      <c r="Y358" s="104"/>
    </row>
    <row r="359" spans="8:25">
      <c r="H359" s="61"/>
      <c r="I359" s="61"/>
      <c r="V359" s="104"/>
      <c r="W359" s="104"/>
      <c r="X359" s="104"/>
      <c r="Y359" s="104"/>
    </row>
    <row r="360" spans="8:25">
      <c r="H360" s="61"/>
      <c r="I360" s="61"/>
      <c r="V360" s="104"/>
      <c r="W360" s="104"/>
      <c r="X360" s="104"/>
      <c r="Y360" s="104"/>
    </row>
    <row r="361" spans="8:25">
      <c r="H361" s="61"/>
      <c r="I361" s="61"/>
      <c r="V361" s="104"/>
      <c r="W361" s="104"/>
      <c r="X361" s="104"/>
      <c r="Y361" s="104"/>
    </row>
    <row r="362" spans="8:25">
      <c r="H362" s="61"/>
      <c r="I362" s="61"/>
      <c r="V362" s="104"/>
      <c r="W362" s="104"/>
      <c r="X362" s="104"/>
      <c r="Y362" s="104"/>
    </row>
    <row r="363" spans="8:25">
      <c r="H363" s="61"/>
      <c r="I363" s="61"/>
      <c r="V363" s="104"/>
      <c r="W363" s="104"/>
      <c r="X363" s="104"/>
      <c r="Y363" s="104"/>
    </row>
    <row r="364" spans="8:25">
      <c r="H364" s="61"/>
      <c r="I364" s="61"/>
      <c r="V364" s="104"/>
      <c r="W364" s="104"/>
      <c r="X364" s="104"/>
      <c r="Y364" s="104"/>
    </row>
    <row r="365" spans="8:25">
      <c r="H365" s="61"/>
      <c r="I365" s="61"/>
      <c r="V365" s="104"/>
      <c r="W365" s="104"/>
      <c r="X365" s="104"/>
      <c r="Y365" s="104"/>
    </row>
    <row r="366" spans="8:25">
      <c r="H366" s="61"/>
      <c r="I366" s="61"/>
      <c r="V366" s="104"/>
      <c r="W366" s="104"/>
      <c r="X366" s="104"/>
      <c r="Y366" s="104"/>
    </row>
    <row r="367" spans="8:25">
      <c r="H367" s="61"/>
      <c r="I367" s="61"/>
      <c r="V367" s="104"/>
      <c r="W367" s="104"/>
      <c r="X367" s="104"/>
      <c r="Y367" s="104"/>
    </row>
    <row r="368" spans="8:25">
      <c r="H368" s="61"/>
      <c r="I368" s="61"/>
      <c r="V368" s="104"/>
      <c r="W368" s="104"/>
      <c r="X368" s="104"/>
      <c r="Y368" s="104"/>
    </row>
    <row r="369" spans="8:25">
      <c r="H369" s="61"/>
      <c r="I369" s="61"/>
      <c r="V369" s="104"/>
      <c r="W369" s="104"/>
      <c r="X369" s="104"/>
      <c r="Y369" s="104"/>
    </row>
    <row r="370" spans="8:25">
      <c r="H370" s="61"/>
      <c r="I370" s="61"/>
      <c r="V370" s="104"/>
      <c r="W370" s="104"/>
      <c r="X370" s="104"/>
      <c r="Y370" s="104"/>
    </row>
    <row r="371" spans="8:25">
      <c r="H371" s="61"/>
      <c r="I371" s="61"/>
      <c r="V371" s="104"/>
      <c r="W371" s="104"/>
      <c r="X371" s="104"/>
      <c r="Y371" s="104"/>
    </row>
    <row r="372" spans="8:25">
      <c r="H372" s="61"/>
      <c r="I372" s="61"/>
      <c r="V372" s="104"/>
      <c r="W372" s="104"/>
      <c r="X372" s="104"/>
      <c r="Y372" s="104"/>
    </row>
    <row r="373" spans="8:25">
      <c r="H373" s="61"/>
      <c r="I373" s="61"/>
      <c r="V373" s="104"/>
      <c r="W373" s="104"/>
      <c r="X373" s="104"/>
      <c r="Y373" s="104"/>
    </row>
    <row r="374" spans="8:25">
      <c r="H374" s="61"/>
      <c r="I374" s="61"/>
      <c r="V374" s="104"/>
      <c r="W374" s="104"/>
      <c r="X374" s="104"/>
      <c r="Y374" s="104"/>
    </row>
    <row r="375" spans="8:25">
      <c r="H375" s="61"/>
      <c r="I375" s="61"/>
      <c r="V375" s="104"/>
      <c r="W375" s="104"/>
      <c r="X375" s="104"/>
      <c r="Y375" s="104"/>
    </row>
    <row r="376" spans="8:25">
      <c r="H376" s="61"/>
      <c r="I376" s="61"/>
      <c r="V376" s="104"/>
      <c r="W376" s="104"/>
      <c r="X376" s="104"/>
      <c r="Y376" s="104"/>
    </row>
    <row r="377" spans="8:25">
      <c r="H377" s="61"/>
      <c r="I377" s="61"/>
      <c r="V377" s="104"/>
      <c r="W377" s="104"/>
      <c r="X377" s="104"/>
      <c r="Y377" s="104"/>
    </row>
    <row r="378" spans="8:25">
      <c r="H378" s="61"/>
      <c r="I378" s="61"/>
      <c r="V378" s="104"/>
      <c r="W378" s="104"/>
      <c r="X378" s="104"/>
      <c r="Y378" s="104"/>
    </row>
    <row r="379" spans="8:25">
      <c r="H379" s="61"/>
      <c r="I379" s="61"/>
      <c r="V379" s="104"/>
      <c r="W379" s="104"/>
      <c r="X379" s="104"/>
      <c r="Y379" s="104"/>
    </row>
    <row r="380" spans="8:9">
      <c r="H380" s="61"/>
      <c r="I380" s="61"/>
    </row>
    <row r="381" spans="8:9">
      <c r="H381" s="61"/>
      <c r="I381" s="61"/>
    </row>
    <row r="382" spans="8:9">
      <c r="H382" s="61"/>
      <c r="I382" s="61"/>
    </row>
    <row r="383" spans="8:9">
      <c r="H383" s="61"/>
      <c r="I383" s="61"/>
    </row>
    <row r="384" spans="8:9">
      <c r="H384" s="61"/>
      <c r="I384" s="61"/>
    </row>
    <row r="385" spans="8:9">
      <c r="H385" s="61"/>
      <c r="I385" s="61"/>
    </row>
    <row r="386" spans="8:9">
      <c r="H386" s="61"/>
      <c r="I386" s="61"/>
    </row>
    <row r="387" spans="8:9">
      <c r="H387" s="61"/>
      <c r="I387" s="61"/>
    </row>
    <row r="388" spans="8:9">
      <c r="H388" s="61"/>
      <c r="I388" s="61"/>
    </row>
    <row r="389" spans="8:9">
      <c r="H389" s="61"/>
      <c r="I389" s="61"/>
    </row>
    <row r="390" spans="8:9">
      <c r="H390" s="61"/>
      <c r="I390" s="61"/>
    </row>
    <row r="391" spans="8:9">
      <c r="H391" s="61"/>
      <c r="I391" s="61"/>
    </row>
    <row r="392" spans="8:9">
      <c r="H392" s="61"/>
      <c r="I392" s="61"/>
    </row>
    <row r="393" spans="8:9">
      <c r="H393" s="61"/>
      <c r="I393" s="61"/>
    </row>
    <row r="394" spans="8:9">
      <c r="H394" s="61"/>
      <c r="I394" s="61"/>
    </row>
    <row r="395" spans="8:9">
      <c r="H395" s="61"/>
      <c r="I395" s="61"/>
    </row>
    <row r="396" spans="8:9">
      <c r="H396" s="61"/>
      <c r="I396" s="61"/>
    </row>
    <row r="397" spans="8:9">
      <c r="H397" s="61"/>
      <c r="I397" s="61"/>
    </row>
    <row r="398" spans="8:9">
      <c r="H398" s="61"/>
      <c r="I398" s="61"/>
    </row>
    <row r="399" spans="8:9">
      <c r="H399" s="61"/>
      <c r="I399" s="61"/>
    </row>
    <row r="400" spans="8:9">
      <c r="H400" s="61"/>
      <c r="I400" s="61"/>
    </row>
    <row r="401" spans="8:9">
      <c r="H401" s="61"/>
      <c r="I401" s="61"/>
    </row>
    <row r="402" spans="8:9">
      <c r="H402" s="61"/>
      <c r="I402" s="61"/>
    </row>
    <row r="403" spans="8:9">
      <c r="H403" s="61"/>
      <c r="I403" s="61"/>
    </row>
    <row r="404" spans="8:9">
      <c r="H404" s="61"/>
      <c r="I404" s="61"/>
    </row>
    <row r="405" spans="8:9">
      <c r="H405" s="61"/>
      <c r="I405" s="61"/>
    </row>
    <row r="406" spans="8:9">
      <c r="H406" s="61"/>
      <c r="I406" s="61"/>
    </row>
    <row r="407" spans="8:9">
      <c r="H407" s="61"/>
      <c r="I407" s="61"/>
    </row>
    <row r="408" spans="8:9">
      <c r="H408" s="61"/>
      <c r="I408" s="61"/>
    </row>
    <row r="409" spans="8:9">
      <c r="H409" s="61"/>
      <c r="I409" s="61"/>
    </row>
    <row r="410" spans="8:9">
      <c r="H410" s="61"/>
      <c r="I410" s="61"/>
    </row>
    <row r="411" spans="8:9">
      <c r="H411" s="61"/>
      <c r="I411" s="61"/>
    </row>
    <row r="412" spans="8:9">
      <c r="H412" s="61"/>
      <c r="I412" s="61"/>
    </row>
    <row r="413" spans="8:9">
      <c r="H413" s="61"/>
      <c r="I413" s="61"/>
    </row>
    <row r="414" spans="8:9">
      <c r="H414" s="61"/>
      <c r="I414" s="61"/>
    </row>
    <row r="415" spans="8:9">
      <c r="H415" s="61"/>
      <c r="I415" s="61"/>
    </row>
    <row r="416" spans="8:9">
      <c r="H416" s="61"/>
      <c r="I416" s="61"/>
    </row>
    <row r="417" spans="8:9">
      <c r="H417" s="61"/>
      <c r="I417" s="61"/>
    </row>
    <row r="418" spans="8:9">
      <c r="H418" s="61"/>
      <c r="I418" s="61"/>
    </row>
    <row r="419" spans="8:9">
      <c r="H419" s="61"/>
      <c r="I419" s="61"/>
    </row>
    <row r="420" spans="8:9">
      <c r="H420" s="61"/>
      <c r="I420" s="61"/>
    </row>
    <row r="421" spans="8:9">
      <c r="H421" s="61"/>
      <c r="I421" s="61"/>
    </row>
    <row r="422" spans="8:9">
      <c r="H422" s="61"/>
      <c r="I422" s="61"/>
    </row>
    <row r="423" spans="8:9">
      <c r="H423" s="61"/>
      <c r="I423" s="61"/>
    </row>
    <row r="424" spans="8:9">
      <c r="H424" s="61"/>
      <c r="I424" s="61"/>
    </row>
    <row r="425" spans="8:9">
      <c r="H425" s="61"/>
      <c r="I425" s="61"/>
    </row>
    <row r="426" spans="8:9">
      <c r="H426" s="61"/>
      <c r="I426" s="61"/>
    </row>
    <row r="427" spans="8:9">
      <c r="H427" s="61"/>
      <c r="I427" s="61"/>
    </row>
    <row r="428" spans="8:9">
      <c r="H428" s="61"/>
      <c r="I428" s="61"/>
    </row>
    <row r="429" spans="8:9">
      <c r="H429" s="61"/>
      <c r="I429" s="61"/>
    </row>
    <row r="430" spans="8:9">
      <c r="H430" s="61"/>
      <c r="I430" s="61"/>
    </row>
    <row r="431" spans="8:9">
      <c r="H431" s="61"/>
      <c r="I431" s="61"/>
    </row>
    <row r="432" spans="8:9">
      <c r="H432" s="61"/>
      <c r="I432" s="61"/>
    </row>
    <row r="433" spans="8:9">
      <c r="H433" s="61"/>
      <c r="I433" s="61"/>
    </row>
    <row r="434" spans="8:9">
      <c r="H434" s="61"/>
      <c r="I434" s="61"/>
    </row>
    <row r="435" spans="8:9">
      <c r="H435" s="61"/>
      <c r="I435" s="61"/>
    </row>
    <row r="436" spans="8:9">
      <c r="H436" s="61"/>
      <c r="I436" s="61"/>
    </row>
    <row r="437" spans="8:9">
      <c r="H437" s="61"/>
      <c r="I437" s="61"/>
    </row>
    <row r="438" spans="8:9">
      <c r="H438" s="61"/>
      <c r="I438" s="61"/>
    </row>
    <row r="439" spans="8:9">
      <c r="H439" s="61"/>
      <c r="I439" s="61"/>
    </row>
    <row r="440" spans="8:9">
      <c r="H440" s="61"/>
      <c r="I440" s="61"/>
    </row>
    <row r="441" spans="8:9">
      <c r="H441" s="61"/>
      <c r="I441" s="61"/>
    </row>
    <row r="442" spans="8:9">
      <c r="H442" s="61"/>
      <c r="I442" s="61"/>
    </row>
    <row r="443" spans="8:9">
      <c r="H443" s="61"/>
      <c r="I443" s="61"/>
    </row>
    <row r="444" spans="8:9">
      <c r="H444" s="61"/>
      <c r="I444" s="61"/>
    </row>
    <row r="445" spans="8:9">
      <c r="H445" s="61"/>
      <c r="I445" s="61"/>
    </row>
    <row r="446" spans="8:9">
      <c r="H446" s="61"/>
      <c r="I446" s="61"/>
    </row>
    <row r="447" spans="8:9">
      <c r="H447" s="61"/>
      <c r="I447" s="61"/>
    </row>
    <row r="448" spans="8:9">
      <c r="H448" s="61"/>
      <c r="I448" s="61"/>
    </row>
    <row r="449" spans="8:9">
      <c r="H449" s="61"/>
      <c r="I449" s="61"/>
    </row>
    <row r="450" spans="8:9">
      <c r="H450" s="61"/>
      <c r="I450" s="61"/>
    </row>
    <row r="451" spans="8:9">
      <c r="H451" s="61"/>
      <c r="I451" s="61"/>
    </row>
    <row r="452" spans="8:9">
      <c r="H452" s="61"/>
      <c r="I452" s="61"/>
    </row>
    <row r="453" spans="8:9">
      <c r="H453" s="61"/>
      <c r="I453" s="61"/>
    </row>
    <row r="454" spans="8:9">
      <c r="H454" s="61"/>
      <c r="I454" s="61"/>
    </row>
    <row r="455" spans="8:9">
      <c r="H455" s="61"/>
      <c r="I455" s="61"/>
    </row>
    <row r="456" spans="8:9">
      <c r="H456" s="61"/>
      <c r="I456" s="61"/>
    </row>
    <row r="457" spans="8:9">
      <c r="H457" s="61"/>
      <c r="I457" s="61"/>
    </row>
    <row r="458" spans="8:9">
      <c r="H458" s="61"/>
      <c r="I458" s="61"/>
    </row>
    <row r="459" spans="8:9">
      <c r="H459" s="61"/>
      <c r="I459" s="61"/>
    </row>
    <row r="460" spans="8:9">
      <c r="H460" s="61"/>
      <c r="I460" s="61"/>
    </row>
    <row r="461" spans="8:9">
      <c r="H461" s="61"/>
      <c r="I461" s="61"/>
    </row>
    <row r="462" spans="8:9">
      <c r="H462" s="61"/>
      <c r="I462" s="61"/>
    </row>
    <row r="463" spans="8:9">
      <c r="H463" s="61"/>
      <c r="I463" s="61"/>
    </row>
    <row r="464" spans="8:9">
      <c r="H464" s="61"/>
      <c r="I464" s="61"/>
    </row>
    <row r="465" spans="8:9">
      <c r="H465" s="61"/>
      <c r="I465" s="61"/>
    </row>
    <row r="466" spans="8:9">
      <c r="H466" s="61"/>
      <c r="I466" s="61"/>
    </row>
    <row r="467" spans="8:9">
      <c r="H467" s="61"/>
      <c r="I467" s="61"/>
    </row>
    <row r="468" spans="8:9">
      <c r="H468" s="61"/>
      <c r="I468" s="61"/>
    </row>
    <row r="469" spans="8:9">
      <c r="H469" s="61"/>
      <c r="I469" s="61"/>
    </row>
    <row r="470" spans="8:9">
      <c r="H470" s="61"/>
      <c r="I470" s="61"/>
    </row>
    <row r="471" spans="8:9">
      <c r="H471" s="61"/>
      <c r="I471" s="61"/>
    </row>
    <row r="472" spans="8:9">
      <c r="H472" s="61"/>
      <c r="I472" s="61"/>
    </row>
    <row r="473" spans="8:9">
      <c r="H473" s="61"/>
      <c r="I473" s="61"/>
    </row>
    <row r="474" spans="8:9">
      <c r="H474" s="61"/>
      <c r="I474" s="61"/>
    </row>
    <row r="475" spans="8:9">
      <c r="H475" s="61"/>
      <c r="I475" s="61"/>
    </row>
    <row r="476" spans="8:9">
      <c r="H476" s="61"/>
      <c r="I476" s="61"/>
    </row>
    <row r="477" spans="8:9">
      <c r="H477" s="61"/>
      <c r="I477" s="61"/>
    </row>
    <row r="478" spans="8:9">
      <c r="H478" s="61"/>
      <c r="I478" s="61"/>
    </row>
    <row r="479" spans="8:9">
      <c r="H479" s="61"/>
      <c r="I479" s="61"/>
    </row>
    <row r="480" spans="8:9">
      <c r="H480" s="61"/>
      <c r="I480" s="61"/>
    </row>
    <row r="481" spans="8:9">
      <c r="H481" s="61"/>
      <c r="I481" s="61"/>
    </row>
    <row r="482" spans="8:9">
      <c r="H482" s="61"/>
      <c r="I482" s="61"/>
    </row>
    <row r="483" spans="8:9">
      <c r="H483" s="61"/>
      <c r="I483" s="61"/>
    </row>
    <row r="484" spans="8:9">
      <c r="H484" s="61"/>
      <c r="I484" s="61"/>
    </row>
    <row r="485" spans="8:9">
      <c r="H485" s="61"/>
      <c r="I485" s="61"/>
    </row>
    <row r="486" spans="8:9">
      <c r="H486" s="61"/>
      <c r="I486" s="61"/>
    </row>
    <row r="487" spans="8:9">
      <c r="H487" s="61"/>
      <c r="I487" s="61"/>
    </row>
    <row r="488" spans="8:9">
      <c r="H488" s="61"/>
      <c r="I488" s="61"/>
    </row>
    <row r="489" spans="8:9">
      <c r="H489" s="61"/>
      <c r="I489" s="61"/>
    </row>
    <row r="490" spans="8:9">
      <c r="H490" s="61"/>
      <c r="I490" s="61"/>
    </row>
    <row r="491" spans="8:9">
      <c r="H491" s="61"/>
      <c r="I491" s="61"/>
    </row>
    <row r="492" spans="8:9">
      <c r="H492" s="61"/>
      <c r="I492" s="61"/>
    </row>
    <row r="493" spans="8:9">
      <c r="H493" s="61"/>
      <c r="I493" s="61"/>
    </row>
    <row r="494" spans="8:9">
      <c r="H494" s="61"/>
      <c r="I494" s="61"/>
    </row>
    <row r="495" spans="8:9">
      <c r="H495" s="61"/>
      <c r="I495" s="61"/>
    </row>
    <row r="496" spans="8:9">
      <c r="H496" s="61"/>
      <c r="I496" s="61"/>
    </row>
    <row r="497" spans="8:9">
      <c r="H497" s="61"/>
      <c r="I497" s="61"/>
    </row>
    <row r="498" spans="8:9">
      <c r="H498" s="61"/>
      <c r="I498" s="61"/>
    </row>
    <row r="499" spans="8:9">
      <c r="H499" s="61"/>
      <c r="I499" s="61"/>
    </row>
    <row r="500" spans="8:9">
      <c r="H500" s="61"/>
      <c r="I500" s="61"/>
    </row>
    <row r="501" spans="8:9">
      <c r="H501" s="61"/>
      <c r="I501" s="61"/>
    </row>
    <row r="502" spans="8:9">
      <c r="H502" s="61"/>
      <c r="I502" s="61"/>
    </row>
    <row r="503" spans="8:9">
      <c r="H503" s="61"/>
      <c r="I503" s="61"/>
    </row>
    <row r="504" spans="8:9">
      <c r="H504" s="61"/>
      <c r="I504" s="61"/>
    </row>
    <row r="505" spans="8:9">
      <c r="H505" s="61"/>
      <c r="I505" s="61"/>
    </row>
    <row r="506" spans="8:9">
      <c r="H506" s="61"/>
      <c r="I506" s="61"/>
    </row>
    <row r="507" spans="8:9">
      <c r="H507" s="61"/>
      <c r="I507" s="61"/>
    </row>
    <row r="508" spans="8:9">
      <c r="H508" s="61"/>
      <c r="I508" s="61"/>
    </row>
    <row r="509" spans="8:9">
      <c r="H509" s="61"/>
      <c r="I509" s="61"/>
    </row>
    <row r="510" spans="8:9">
      <c r="H510" s="61"/>
      <c r="I510" s="61"/>
    </row>
    <row r="511" spans="8:9">
      <c r="H511" s="61"/>
      <c r="I511" s="61"/>
    </row>
    <row r="512" spans="8:9">
      <c r="H512" s="61"/>
      <c r="I512" s="61"/>
    </row>
    <row r="513" spans="8:9">
      <c r="H513" s="61"/>
      <c r="I513" s="61"/>
    </row>
    <row r="514" spans="8:9">
      <c r="H514" s="61"/>
      <c r="I514" s="61"/>
    </row>
    <row r="515" spans="8:9">
      <c r="H515" s="61"/>
      <c r="I515" s="61"/>
    </row>
    <row r="516" spans="8:9">
      <c r="H516" s="61"/>
      <c r="I516" s="61"/>
    </row>
    <row r="517" spans="8:9">
      <c r="H517" s="61"/>
      <c r="I517" s="61"/>
    </row>
    <row r="518" spans="8:9">
      <c r="H518" s="61"/>
      <c r="I518" s="61"/>
    </row>
    <row r="519" spans="8:9">
      <c r="H519" s="61"/>
      <c r="I519" s="61"/>
    </row>
    <row r="520" spans="8:9">
      <c r="H520" s="61"/>
      <c r="I520" s="61"/>
    </row>
    <row r="521" spans="8:9">
      <c r="H521" s="61"/>
      <c r="I521" s="61"/>
    </row>
    <row r="522" spans="8:9">
      <c r="H522" s="61"/>
      <c r="I522" s="61"/>
    </row>
    <row r="523" spans="8:9">
      <c r="H523" s="61"/>
      <c r="I523" s="61"/>
    </row>
    <row r="524" spans="8:9">
      <c r="H524" s="61"/>
      <c r="I524" s="61"/>
    </row>
    <row r="525" spans="8:9">
      <c r="H525" s="61"/>
      <c r="I525" s="61"/>
    </row>
    <row r="526" spans="8:9">
      <c r="H526" s="61"/>
      <c r="I526" s="61"/>
    </row>
    <row r="527" spans="8:9">
      <c r="H527" s="61"/>
      <c r="I527" s="61"/>
    </row>
    <row r="528" spans="8:9">
      <c r="H528" s="61"/>
      <c r="I528" s="61"/>
    </row>
    <row r="529" spans="8:9">
      <c r="H529" s="61"/>
      <c r="I529" s="61"/>
    </row>
    <row r="530" spans="8:9">
      <c r="H530" s="61"/>
      <c r="I530" s="61"/>
    </row>
    <row r="531" spans="8:9">
      <c r="H531" s="61"/>
      <c r="I531" s="61"/>
    </row>
    <row r="532" spans="8:9">
      <c r="H532" s="61"/>
      <c r="I532" s="61"/>
    </row>
    <row r="533" spans="8:9">
      <c r="H533" s="61"/>
      <c r="I533" s="61"/>
    </row>
    <row r="534" spans="8:9">
      <c r="H534" s="61"/>
      <c r="I534" s="61"/>
    </row>
    <row r="535" spans="8:9">
      <c r="H535" s="61"/>
      <c r="I535" s="61"/>
    </row>
    <row r="536" spans="8:9">
      <c r="H536" s="61"/>
      <c r="I536" s="61"/>
    </row>
    <row r="537" spans="8:9">
      <c r="H537" s="61"/>
      <c r="I537" s="61"/>
    </row>
    <row r="538" spans="8:9">
      <c r="H538" s="61"/>
      <c r="I538" s="61"/>
    </row>
    <row r="539" spans="8:9">
      <c r="H539" s="61"/>
      <c r="I539" s="61"/>
    </row>
    <row r="540" spans="8:9">
      <c r="H540" s="61"/>
      <c r="I540" s="61"/>
    </row>
    <row r="541" spans="8:9">
      <c r="H541" s="61"/>
      <c r="I541" s="61"/>
    </row>
    <row r="542" spans="8:9">
      <c r="H542" s="61"/>
      <c r="I542" s="61"/>
    </row>
    <row r="543" spans="8:9">
      <c r="H543" s="61"/>
      <c r="I543" s="61"/>
    </row>
    <row r="544" spans="8:9">
      <c r="H544" s="61"/>
      <c r="I544" s="61"/>
    </row>
    <row r="545" spans="8:9">
      <c r="H545" s="61"/>
      <c r="I545" s="61"/>
    </row>
    <row r="546" spans="8:9">
      <c r="H546" s="61"/>
      <c r="I546" s="61"/>
    </row>
    <row r="547" spans="8:9">
      <c r="H547" s="61"/>
      <c r="I547" s="61"/>
    </row>
    <row r="548" spans="8:9">
      <c r="H548" s="61"/>
      <c r="I548" s="61"/>
    </row>
    <row r="549" spans="8:9">
      <c r="H549" s="61"/>
      <c r="I549" s="61"/>
    </row>
    <row r="550" spans="8:9">
      <c r="H550" s="61"/>
      <c r="I550" s="61"/>
    </row>
    <row r="551" spans="8:9">
      <c r="H551" s="61"/>
      <c r="I551" s="61"/>
    </row>
    <row r="552" spans="8:9">
      <c r="H552" s="61"/>
      <c r="I552" s="61"/>
    </row>
    <row r="553" spans="8:9">
      <c r="H553" s="61"/>
      <c r="I553" s="61"/>
    </row>
    <row r="554" spans="8:9">
      <c r="H554" s="61"/>
      <c r="I554" s="61"/>
    </row>
    <row r="555" spans="8:9">
      <c r="H555" s="61"/>
      <c r="I555" s="61"/>
    </row>
    <row r="556" spans="8:9">
      <c r="H556" s="61"/>
      <c r="I556" s="61"/>
    </row>
    <row r="557" spans="8:9">
      <c r="H557" s="61"/>
      <c r="I557" s="61"/>
    </row>
    <row r="558" spans="8:9">
      <c r="H558" s="61"/>
      <c r="I558" s="61"/>
    </row>
    <row r="559" spans="8:9">
      <c r="H559" s="61"/>
      <c r="I559" s="61"/>
    </row>
    <row r="560" spans="8:9">
      <c r="H560" s="61"/>
      <c r="I560" s="61"/>
    </row>
    <row r="561" spans="8:9">
      <c r="H561" s="61"/>
      <c r="I561" s="61"/>
    </row>
    <row r="562" spans="8:9">
      <c r="H562" s="61"/>
      <c r="I562" s="61"/>
    </row>
    <row r="563" spans="8:9">
      <c r="H563" s="61"/>
      <c r="I563" s="61"/>
    </row>
    <row r="564" spans="8:9">
      <c r="H564" s="61"/>
      <c r="I564" s="61"/>
    </row>
    <row r="565" spans="8:9">
      <c r="H565" s="61"/>
      <c r="I565" s="61"/>
    </row>
    <row r="566" spans="8:9">
      <c r="H566" s="61"/>
      <c r="I566" s="61"/>
    </row>
    <row r="567" spans="8:9">
      <c r="H567" s="61"/>
      <c r="I567" s="61"/>
    </row>
    <row r="568" spans="8:9">
      <c r="H568" s="61"/>
      <c r="I568" s="61"/>
    </row>
    <row r="569" spans="8:9">
      <c r="H569" s="61"/>
      <c r="I569" s="61"/>
    </row>
    <row r="570" spans="8:9">
      <c r="H570" s="61"/>
      <c r="I570" s="61"/>
    </row>
    <row r="571" spans="8:9">
      <c r="H571" s="61"/>
      <c r="I571" s="61"/>
    </row>
    <row r="572" spans="8:9">
      <c r="H572" s="61"/>
      <c r="I572" s="61"/>
    </row>
    <row r="573" spans="8:9">
      <c r="H573" s="61"/>
      <c r="I573" s="61"/>
    </row>
    <row r="574" spans="8:9">
      <c r="H574" s="61"/>
      <c r="I574" s="61"/>
    </row>
    <row r="575" spans="8:9">
      <c r="H575" s="61"/>
      <c r="I575" s="61"/>
    </row>
    <row r="576" spans="8:9">
      <c r="H576" s="61"/>
      <c r="I576" s="61"/>
    </row>
    <row r="577" spans="8:9">
      <c r="H577" s="61"/>
      <c r="I577" s="61"/>
    </row>
    <row r="578" spans="8:9">
      <c r="H578" s="61"/>
      <c r="I578" s="61"/>
    </row>
    <row r="579" spans="8:9">
      <c r="H579" s="61"/>
      <c r="I579" s="61"/>
    </row>
    <row r="580" spans="8:9">
      <c r="H580" s="61"/>
      <c r="I580" s="61"/>
    </row>
    <row r="581" spans="8:9">
      <c r="H581" s="61"/>
      <c r="I581" s="61"/>
    </row>
    <row r="582" spans="8:9">
      <c r="H582" s="61"/>
      <c r="I582" s="61"/>
    </row>
    <row r="583" spans="8:9">
      <c r="H583" s="61"/>
      <c r="I583" s="61"/>
    </row>
    <row r="584" spans="8:9">
      <c r="H584" s="61"/>
      <c r="I584" s="61"/>
    </row>
    <row r="585" spans="8:9">
      <c r="H585" s="61"/>
      <c r="I585" s="61"/>
    </row>
    <row r="586" spans="8:9">
      <c r="H586" s="61"/>
      <c r="I586" s="61"/>
    </row>
    <row r="587" spans="8:9">
      <c r="H587" s="61"/>
      <c r="I587" s="61"/>
    </row>
    <row r="588" spans="8:9">
      <c r="H588" s="61"/>
      <c r="I588" s="61"/>
    </row>
    <row r="589" spans="8:9">
      <c r="H589" s="61"/>
      <c r="I589" s="61"/>
    </row>
    <row r="590" spans="8:9">
      <c r="H590" s="61"/>
      <c r="I590" s="61"/>
    </row>
    <row r="591" spans="8:9">
      <c r="H591" s="61"/>
      <c r="I591" s="61"/>
    </row>
    <row r="592" spans="8:9">
      <c r="H592" s="61"/>
      <c r="I592" s="61"/>
    </row>
    <row r="593" spans="8:9">
      <c r="H593" s="61"/>
      <c r="I593" s="61"/>
    </row>
    <row r="594" spans="8:9">
      <c r="H594" s="61"/>
      <c r="I594" s="61"/>
    </row>
    <row r="595" spans="8:9">
      <c r="H595" s="61"/>
      <c r="I595" s="61"/>
    </row>
    <row r="596" spans="8:9">
      <c r="H596" s="61"/>
      <c r="I596" s="61"/>
    </row>
    <row r="597" spans="8:9">
      <c r="H597" s="61"/>
      <c r="I597" s="61"/>
    </row>
    <row r="598" spans="8:9">
      <c r="H598" s="61"/>
      <c r="I598" s="61"/>
    </row>
    <row r="599" spans="8:9">
      <c r="H599" s="61"/>
      <c r="I599" s="61"/>
    </row>
    <row r="600" spans="8:9">
      <c r="H600" s="61"/>
      <c r="I600" s="61"/>
    </row>
    <row r="601" spans="8:9">
      <c r="H601" s="61"/>
      <c r="I601" s="61"/>
    </row>
    <row r="602" spans="8:9">
      <c r="H602" s="61"/>
      <c r="I602" s="61"/>
    </row>
    <row r="603" spans="8:9">
      <c r="H603" s="61"/>
      <c r="I603" s="61"/>
    </row>
    <row r="604" spans="8:9">
      <c r="H604" s="61"/>
      <c r="I604" s="61"/>
    </row>
    <row r="605" spans="8:9">
      <c r="H605" s="61"/>
      <c r="I605" s="61"/>
    </row>
    <row r="606" spans="8:9">
      <c r="H606" s="61"/>
      <c r="I606" s="61"/>
    </row>
    <row r="607" spans="8:9">
      <c r="H607" s="61"/>
      <c r="I607" s="61"/>
    </row>
    <row r="608" spans="8:9">
      <c r="H608" s="61"/>
      <c r="I608" s="61"/>
    </row>
    <row r="609" spans="8:9">
      <c r="H609" s="61"/>
      <c r="I609" s="61"/>
    </row>
    <row r="610" spans="8:9">
      <c r="H610" s="61"/>
      <c r="I610" s="61"/>
    </row>
    <row r="611" spans="8:9">
      <c r="H611" s="61"/>
      <c r="I611" s="61"/>
    </row>
    <row r="612" spans="8:9">
      <c r="H612" s="61"/>
      <c r="I612" s="61"/>
    </row>
    <row r="613" spans="8:9">
      <c r="H613" s="61"/>
      <c r="I613" s="61"/>
    </row>
    <row r="614" spans="8:9">
      <c r="H614" s="61"/>
      <c r="I614" s="61"/>
    </row>
    <row r="615" spans="8:9">
      <c r="H615" s="61"/>
      <c r="I615" s="61"/>
    </row>
    <row r="616" spans="8:9">
      <c r="H616" s="61"/>
      <c r="I616" s="61"/>
    </row>
    <row r="617" spans="8:9">
      <c r="H617" s="61"/>
      <c r="I617" s="61"/>
    </row>
    <row r="618" spans="8:9">
      <c r="H618" s="61"/>
      <c r="I618" s="61"/>
    </row>
    <row r="619" spans="8:9">
      <c r="H619" s="61"/>
      <c r="I619" s="61"/>
    </row>
    <row r="620" spans="8:9">
      <c r="H620" s="61"/>
      <c r="I620" s="61"/>
    </row>
    <row r="621" spans="8:9">
      <c r="H621" s="61"/>
      <c r="I621" s="61"/>
    </row>
    <row r="622" spans="8:9">
      <c r="H622" s="61"/>
      <c r="I622" s="61"/>
    </row>
    <row r="623" spans="8:9">
      <c r="H623" s="61"/>
      <c r="I623" s="61"/>
    </row>
    <row r="624" spans="8:9">
      <c r="H624" s="61"/>
      <c r="I624" s="61"/>
    </row>
    <row r="625" spans="8:9">
      <c r="H625" s="61"/>
      <c r="I625" s="61"/>
    </row>
    <row r="626" spans="8:9">
      <c r="H626" s="61"/>
      <c r="I626" s="61"/>
    </row>
    <row r="627" spans="8:9">
      <c r="H627" s="61"/>
      <c r="I627" s="61"/>
    </row>
    <row r="628" spans="8:9">
      <c r="H628" s="61"/>
      <c r="I628" s="61"/>
    </row>
    <row r="629" spans="8:9">
      <c r="H629" s="61"/>
      <c r="I629" s="61"/>
    </row>
    <row r="630" spans="8:9">
      <c r="H630" s="61"/>
      <c r="I630" s="61"/>
    </row>
    <row r="631" spans="8:9">
      <c r="H631" s="61"/>
      <c r="I631" s="61"/>
    </row>
    <row r="632" spans="8:9">
      <c r="H632" s="61"/>
      <c r="I632" s="61"/>
    </row>
    <row r="633" spans="8:9">
      <c r="H633" s="61"/>
      <c r="I633" s="61"/>
    </row>
    <row r="634" spans="8:9">
      <c r="H634" s="61"/>
      <c r="I634" s="61"/>
    </row>
    <row r="635" spans="8:9">
      <c r="H635" s="61"/>
      <c r="I635" s="61"/>
    </row>
    <row r="636" spans="8:9">
      <c r="H636" s="61"/>
      <c r="I636" s="61"/>
    </row>
    <row r="637" spans="8:9">
      <c r="H637" s="61"/>
      <c r="I637" s="61"/>
    </row>
    <row r="638" spans="8:9">
      <c r="H638" s="61"/>
      <c r="I638" s="61"/>
    </row>
    <row r="639" spans="8:9">
      <c r="H639" s="61"/>
      <c r="I639" s="61"/>
    </row>
    <row r="640" spans="8:9">
      <c r="H640" s="61"/>
      <c r="I640" s="61"/>
    </row>
    <row r="641" spans="8:9">
      <c r="H641" s="61"/>
      <c r="I641" s="61"/>
    </row>
    <row r="642" spans="8:9">
      <c r="H642" s="61"/>
      <c r="I642" s="61"/>
    </row>
    <row r="643" spans="8:9">
      <c r="H643" s="61"/>
      <c r="I643" s="61"/>
    </row>
    <row r="644" spans="8:9">
      <c r="H644" s="61"/>
      <c r="I644" s="61"/>
    </row>
    <row r="645" spans="8:9">
      <c r="H645" s="61"/>
      <c r="I645" s="61"/>
    </row>
    <row r="646" spans="8:9">
      <c r="H646" s="61"/>
      <c r="I646" s="61"/>
    </row>
    <row r="647" spans="8:9">
      <c r="H647" s="61"/>
      <c r="I647" s="61"/>
    </row>
    <row r="648" spans="8:9">
      <c r="H648" s="61"/>
      <c r="I648" s="61"/>
    </row>
    <row r="649" spans="8:9">
      <c r="H649" s="61"/>
      <c r="I649" s="61"/>
    </row>
    <row r="650" spans="8:9">
      <c r="H650" s="61"/>
      <c r="I650" s="61"/>
    </row>
    <row r="651" spans="8:9">
      <c r="H651" s="61"/>
      <c r="I651" s="61"/>
    </row>
    <row r="652" spans="8:9">
      <c r="H652" s="61"/>
      <c r="I652" s="61"/>
    </row>
    <row r="653" spans="8:9">
      <c r="H653" s="61"/>
      <c r="I653" s="61"/>
    </row>
    <row r="654" spans="8:9">
      <c r="H654" s="61"/>
      <c r="I654" s="61"/>
    </row>
    <row r="655" spans="8:9">
      <c r="H655" s="61"/>
      <c r="I655" s="61"/>
    </row>
    <row r="656" spans="8:9">
      <c r="H656" s="61"/>
      <c r="I656" s="61"/>
    </row>
    <row r="657" spans="8:9">
      <c r="H657" s="61"/>
      <c r="I657" s="61"/>
    </row>
    <row r="658" spans="8:9">
      <c r="H658" s="61"/>
      <c r="I658" s="61"/>
    </row>
    <row r="659" spans="8:9">
      <c r="H659" s="61"/>
      <c r="I659" s="61"/>
    </row>
    <row r="660" spans="8:9">
      <c r="H660" s="61"/>
      <c r="I660" s="61"/>
    </row>
    <row r="661" spans="8:9">
      <c r="H661" s="61"/>
      <c r="I661" s="61"/>
    </row>
    <row r="662" spans="8:9">
      <c r="H662" s="61"/>
      <c r="I662" s="61"/>
    </row>
    <row r="663" spans="8:9">
      <c r="H663" s="61"/>
      <c r="I663" s="61"/>
    </row>
    <row r="664" spans="8:9">
      <c r="H664" s="61"/>
      <c r="I664" s="61"/>
    </row>
    <row r="665" spans="8:9">
      <c r="H665" s="61"/>
      <c r="I665" s="61"/>
    </row>
    <row r="666" spans="8:9">
      <c r="H666" s="61"/>
      <c r="I666" s="61"/>
    </row>
    <row r="667" spans="8:9">
      <c r="H667" s="61"/>
      <c r="I667" s="61"/>
    </row>
    <row r="668" spans="8:9">
      <c r="H668" s="61"/>
      <c r="I668" s="61"/>
    </row>
    <row r="669" spans="8:9">
      <c r="H669" s="61"/>
      <c r="I669" s="61"/>
    </row>
    <row r="670" spans="8:9">
      <c r="H670" s="61"/>
      <c r="I670" s="61"/>
    </row>
    <row r="671" spans="8:9">
      <c r="H671" s="61"/>
      <c r="I671" s="61"/>
    </row>
    <row r="672" spans="8:9">
      <c r="H672" s="61"/>
      <c r="I672" s="61"/>
    </row>
    <row r="673" spans="8:9">
      <c r="H673" s="61"/>
      <c r="I673" s="61"/>
    </row>
    <row r="674" spans="8:9">
      <c r="H674" s="61"/>
      <c r="I674" s="61"/>
    </row>
    <row r="675" spans="8:9">
      <c r="H675" s="61"/>
      <c r="I675" s="61"/>
    </row>
    <row r="676" spans="8:9">
      <c r="H676" s="61"/>
      <c r="I676" s="61"/>
    </row>
    <row r="677" spans="8:9">
      <c r="H677" s="61"/>
      <c r="I677" s="61"/>
    </row>
    <row r="678" spans="8:9">
      <c r="H678" s="61"/>
      <c r="I678" s="61"/>
    </row>
    <row r="679" spans="8:9">
      <c r="H679" s="61"/>
      <c r="I679" s="61"/>
    </row>
    <row r="680" spans="8:9">
      <c r="H680" s="61"/>
      <c r="I680" s="61"/>
    </row>
    <row r="681" spans="8:9">
      <c r="H681" s="61"/>
      <c r="I681" s="61"/>
    </row>
    <row r="682" spans="8:9">
      <c r="H682" s="61"/>
      <c r="I682" s="61"/>
    </row>
    <row r="683" spans="8:9">
      <c r="H683" s="61"/>
      <c r="I683" s="61"/>
    </row>
    <row r="684" spans="8:9">
      <c r="H684" s="61"/>
      <c r="I684" s="61"/>
    </row>
    <row r="685" spans="8:9">
      <c r="H685" s="61"/>
      <c r="I685" s="61"/>
    </row>
    <row r="686" spans="8:9">
      <c r="H686" s="61"/>
      <c r="I686" s="61"/>
    </row>
    <row r="687" spans="8:9">
      <c r="H687" s="61"/>
      <c r="I687" s="61"/>
    </row>
    <row r="688" spans="8:9">
      <c r="H688" s="61"/>
      <c r="I688" s="61"/>
    </row>
    <row r="689" spans="8:9">
      <c r="H689" s="61"/>
      <c r="I689" s="61"/>
    </row>
    <row r="690" spans="8:9">
      <c r="H690" s="61"/>
      <c r="I690" s="61"/>
    </row>
    <row r="691" spans="8:9">
      <c r="H691" s="61"/>
      <c r="I691" s="61"/>
    </row>
    <row r="692" spans="8:9">
      <c r="H692" s="61"/>
      <c r="I692" s="61"/>
    </row>
    <row r="693" spans="8:9">
      <c r="H693" s="61"/>
      <c r="I693" s="61"/>
    </row>
    <row r="694" spans="8:9">
      <c r="H694" s="61"/>
      <c r="I694" s="61"/>
    </row>
    <row r="695" spans="8:9">
      <c r="H695" s="61"/>
      <c r="I695" s="61"/>
    </row>
    <row r="696" spans="8:9">
      <c r="H696" s="61"/>
      <c r="I696" s="61"/>
    </row>
    <row r="697" spans="8:9">
      <c r="H697" s="61"/>
      <c r="I697" s="61"/>
    </row>
    <row r="698" spans="8:9">
      <c r="H698" s="61"/>
      <c r="I698" s="61"/>
    </row>
    <row r="699" spans="8:9">
      <c r="H699" s="61"/>
      <c r="I699" s="61"/>
    </row>
    <row r="700" spans="8:9">
      <c r="H700" s="61"/>
      <c r="I700" s="61"/>
    </row>
    <row r="701" spans="8:9">
      <c r="H701" s="61"/>
      <c r="I701" s="61"/>
    </row>
    <row r="702" spans="8:9">
      <c r="H702" s="61"/>
      <c r="I702" s="61"/>
    </row>
    <row r="703" spans="8:9">
      <c r="H703" s="61"/>
      <c r="I703" s="61"/>
    </row>
    <row r="704" spans="8:9">
      <c r="H704" s="61"/>
      <c r="I704" s="61"/>
    </row>
    <row r="705" spans="8:9">
      <c r="H705" s="61"/>
      <c r="I705" s="61"/>
    </row>
    <row r="706" spans="8:9">
      <c r="H706" s="61"/>
      <c r="I706" s="61"/>
    </row>
    <row r="707" spans="8:9">
      <c r="H707" s="61"/>
      <c r="I707" s="61"/>
    </row>
    <row r="708" spans="8:9">
      <c r="H708" s="61"/>
      <c r="I708" s="61"/>
    </row>
    <row r="709" spans="8:9">
      <c r="H709" s="61"/>
      <c r="I709" s="61"/>
    </row>
    <row r="710" spans="8:9">
      <c r="H710" s="61"/>
      <c r="I710" s="61"/>
    </row>
    <row r="711" spans="8:9">
      <c r="H711" s="61"/>
      <c r="I711" s="61"/>
    </row>
    <row r="712" spans="8:9">
      <c r="H712" s="61"/>
      <c r="I712" s="61"/>
    </row>
    <row r="713" spans="8:9">
      <c r="H713" s="61"/>
      <c r="I713" s="61"/>
    </row>
    <row r="714" spans="8:9">
      <c r="H714" s="61"/>
      <c r="I714" s="61"/>
    </row>
    <row r="715" spans="8:9">
      <c r="H715" s="61"/>
      <c r="I715" s="61"/>
    </row>
    <row r="716" spans="8:9">
      <c r="H716" s="61"/>
      <c r="I716" s="61"/>
    </row>
    <row r="717" spans="8:9">
      <c r="H717" s="61"/>
      <c r="I717" s="61"/>
    </row>
    <row r="718" spans="8:9">
      <c r="H718" s="61"/>
      <c r="I718" s="61"/>
    </row>
    <row r="719" spans="8:9">
      <c r="H719" s="61"/>
      <c r="I719" s="61"/>
    </row>
    <row r="720" spans="8:9">
      <c r="H720" s="61"/>
      <c r="I720" s="61"/>
    </row>
    <row r="721" spans="8:9">
      <c r="H721" s="61"/>
      <c r="I721" s="61"/>
    </row>
    <row r="722" spans="8:9">
      <c r="H722" s="61"/>
      <c r="I722" s="61"/>
    </row>
    <row r="723" spans="8:9">
      <c r="H723" s="61"/>
      <c r="I723" s="61"/>
    </row>
    <row r="724" spans="8:9">
      <c r="H724" s="61"/>
      <c r="I724" s="61"/>
    </row>
    <row r="725" spans="8:9">
      <c r="H725" s="61"/>
      <c r="I725" s="61"/>
    </row>
    <row r="726" spans="8:9">
      <c r="H726" s="61"/>
      <c r="I726" s="61"/>
    </row>
    <row r="727" spans="8:9">
      <c r="H727" s="61"/>
      <c r="I727" s="61"/>
    </row>
    <row r="728" spans="8:9">
      <c r="H728" s="61"/>
      <c r="I728" s="61"/>
    </row>
    <row r="729" spans="8:9">
      <c r="H729" s="61"/>
      <c r="I729" s="61"/>
    </row>
    <row r="730" spans="8:9">
      <c r="H730" s="61"/>
      <c r="I730" s="61"/>
    </row>
    <row r="731" spans="8:9">
      <c r="H731" s="61"/>
      <c r="I731" s="61"/>
    </row>
    <row r="732" spans="8:9">
      <c r="H732" s="61"/>
      <c r="I732" s="61"/>
    </row>
    <row r="733" spans="8:9">
      <c r="H733" s="61"/>
      <c r="I733" s="61"/>
    </row>
    <row r="734" spans="8:9">
      <c r="H734" s="61"/>
      <c r="I734" s="61"/>
    </row>
    <row r="735" spans="8:9">
      <c r="H735" s="61"/>
      <c r="I735" s="61"/>
    </row>
    <row r="736" spans="8:9">
      <c r="H736" s="61"/>
      <c r="I736" s="61"/>
    </row>
    <row r="737" spans="8:9">
      <c r="H737" s="61"/>
      <c r="I737" s="61"/>
    </row>
    <row r="738" spans="8:9">
      <c r="H738" s="61"/>
      <c r="I738" s="61"/>
    </row>
    <row r="739" spans="8:9">
      <c r="H739" s="61"/>
      <c r="I739" s="61"/>
    </row>
    <row r="740" spans="8:9">
      <c r="H740" s="61"/>
      <c r="I740" s="61"/>
    </row>
    <row r="741" spans="8:9">
      <c r="H741" s="61"/>
      <c r="I741" s="61"/>
    </row>
    <row r="742" spans="8:9">
      <c r="H742" s="61"/>
      <c r="I742" s="61"/>
    </row>
    <row r="743" spans="8:9">
      <c r="H743" s="61"/>
      <c r="I743" s="61"/>
    </row>
    <row r="744" spans="8:9">
      <c r="H744" s="61"/>
      <c r="I744" s="61"/>
    </row>
    <row r="745" spans="8:9">
      <c r="H745" s="61"/>
      <c r="I745" s="61"/>
    </row>
    <row r="746" spans="8:9">
      <c r="H746" s="61"/>
      <c r="I746" s="61"/>
    </row>
    <row r="747" spans="8:9">
      <c r="H747" s="61"/>
      <c r="I747" s="61"/>
    </row>
    <row r="748" spans="8:9">
      <c r="H748" s="61"/>
      <c r="I748" s="61"/>
    </row>
    <row r="749" spans="8:9">
      <c r="H749" s="61"/>
      <c r="I749" s="61"/>
    </row>
    <row r="750" spans="8:9">
      <c r="H750" s="61"/>
      <c r="I750" s="61"/>
    </row>
    <row r="751" spans="8:9">
      <c r="H751" s="61"/>
      <c r="I751" s="61"/>
    </row>
    <row r="752" spans="8:9">
      <c r="H752" s="61"/>
      <c r="I752" s="61"/>
    </row>
    <row r="753" spans="8:9">
      <c r="H753" s="61"/>
      <c r="I753" s="61"/>
    </row>
    <row r="754" spans="8:9">
      <c r="H754" s="61"/>
      <c r="I754" s="61"/>
    </row>
    <row r="755" spans="8:9">
      <c r="H755" s="61"/>
      <c r="I755" s="61"/>
    </row>
    <row r="756" spans="8:9">
      <c r="H756" s="61"/>
      <c r="I756" s="61"/>
    </row>
    <row r="757" spans="8:9">
      <c r="H757" s="61"/>
      <c r="I757" s="61"/>
    </row>
    <row r="758" spans="8:9">
      <c r="H758" s="61"/>
      <c r="I758" s="61"/>
    </row>
    <row r="759" spans="8:9">
      <c r="H759" s="61"/>
      <c r="I759" s="61"/>
    </row>
    <row r="760" spans="8:9">
      <c r="H760" s="61"/>
      <c r="I760" s="61"/>
    </row>
    <row r="761" spans="8:9">
      <c r="H761" s="61"/>
      <c r="I761" s="61"/>
    </row>
    <row r="762" spans="8:9">
      <c r="H762" s="61"/>
      <c r="I762" s="61"/>
    </row>
    <row r="763" spans="8:9">
      <c r="H763" s="61"/>
      <c r="I763" s="61"/>
    </row>
    <row r="764" spans="8:9">
      <c r="H764" s="61"/>
      <c r="I764" s="61"/>
    </row>
    <row r="765" spans="8:9">
      <c r="H765" s="61"/>
      <c r="I765" s="61"/>
    </row>
    <row r="766" spans="8:9">
      <c r="H766" s="61"/>
      <c r="I766" s="61"/>
    </row>
    <row r="767" spans="8:9">
      <c r="H767" s="61"/>
      <c r="I767" s="61"/>
    </row>
    <row r="768" spans="8:9">
      <c r="H768" s="61"/>
      <c r="I768" s="61"/>
    </row>
    <row r="769" spans="8:9">
      <c r="H769" s="61"/>
      <c r="I769" s="61"/>
    </row>
    <row r="770" spans="8:9">
      <c r="H770" s="61"/>
      <c r="I770" s="61"/>
    </row>
    <row r="771" spans="8:9">
      <c r="H771" s="61"/>
      <c r="I771" s="61"/>
    </row>
    <row r="772" spans="8:9">
      <c r="H772" s="61"/>
      <c r="I772" s="61"/>
    </row>
    <row r="773" spans="8:9">
      <c r="H773" s="61"/>
      <c r="I773" s="61"/>
    </row>
    <row r="774" spans="8:9">
      <c r="H774" s="61"/>
      <c r="I774" s="61"/>
    </row>
    <row r="775" spans="8:9">
      <c r="H775" s="61"/>
      <c r="I775" s="61"/>
    </row>
    <row r="776" spans="8:9">
      <c r="H776" s="61"/>
      <c r="I776" s="61"/>
    </row>
    <row r="777" spans="8:9">
      <c r="H777" s="61"/>
      <c r="I777" s="61"/>
    </row>
    <row r="778" spans="8:9">
      <c r="H778" s="61"/>
      <c r="I778" s="61"/>
    </row>
    <row r="779" spans="8:9">
      <c r="H779" s="61"/>
      <c r="I779" s="61"/>
    </row>
    <row r="780" spans="8:9">
      <c r="H780" s="61"/>
      <c r="I780" s="61"/>
    </row>
    <row r="781" spans="8:9">
      <c r="H781" s="61"/>
      <c r="I781" s="61"/>
    </row>
    <row r="782" spans="8:9">
      <c r="H782" s="61"/>
      <c r="I782" s="61"/>
    </row>
    <row r="783" spans="8:9">
      <c r="H783" s="61"/>
      <c r="I783" s="61"/>
    </row>
    <row r="784" spans="8:9">
      <c r="H784" s="61"/>
      <c r="I784" s="61"/>
    </row>
    <row r="785" spans="8:9">
      <c r="H785" s="61"/>
      <c r="I785" s="61"/>
    </row>
    <row r="786" spans="8:9">
      <c r="H786" s="61"/>
      <c r="I786" s="61"/>
    </row>
    <row r="787" spans="8:9">
      <c r="H787" s="61"/>
      <c r="I787" s="61"/>
    </row>
    <row r="788" spans="8:9">
      <c r="H788" s="61"/>
      <c r="I788" s="61"/>
    </row>
    <row r="789" spans="8:9">
      <c r="H789" s="61"/>
      <c r="I789" s="61"/>
    </row>
    <row r="790" spans="8:9">
      <c r="H790" s="61"/>
      <c r="I790" s="61"/>
    </row>
    <row r="791" spans="8:9">
      <c r="H791" s="61"/>
      <c r="I791" s="61"/>
    </row>
    <row r="792" spans="8:9">
      <c r="H792" s="61"/>
      <c r="I792" s="61"/>
    </row>
    <row r="793" spans="8:9">
      <c r="H793" s="61"/>
      <c r="I793" s="61"/>
    </row>
    <row r="794" spans="8:9">
      <c r="H794" s="61"/>
      <c r="I794" s="61"/>
    </row>
    <row r="795" spans="8:9">
      <c r="H795" s="61"/>
      <c r="I795" s="61"/>
    </row>
    <row r="796" spans="8:9">
      <c r="H796" s="61"/>
      <c r="I796" s="61"/>
    </row>
    <row r="797" spans="8:9">
      <c r="H797" s="61"/>
      <c r="I797" s="61"/>
    </row>
    <row r="798" spans="8:9">
      <c r="H798" s="61"/>
      <c r="I798" s="61"/>
    </row>
    <row r="799" spans="8:9">
      <c r="H799" s="61"/>
      <c r="I799" s="61"/>
    </row>
    <row r="800" spans="8:9">
      <c r="H800" s="61"/>
      <c r="I800" s="61"/>
    </row>
    <row r="801" spans="8:9">
      <c r="H801" s="61"/>
      <c r="I801" s="61"/>
    </row>
    <row r="802" spans="8:9">
      <c r="H802" s="61"/>
      <c r="I802" s="61"/>
    </row>
    <row r="803" spans="8:9">
      <c r="H803" s="61"/>
      <c r="I803" s="61"/>
    </row>
    <row r="804" spans="8:9">
      <c r="H804" s="61"/>
      <c r="I804" s="61"/>
    </row>
    <row r="805" spans="8:9">
      <c r="H805" s="61"/>
      <c r="I805" s="61"/>
    </row>
    <row r="806" spans="8:9">
      <c r="H806" s="61"/>
      <c r="I806" s="61"/>
    </row>
    <row r="807" spans="8:9">
      <c r="H807" s="61"/>
      <c r="I807" s="61"/>
    </row>
    <row r="808" spans="8:9">
      <c r="H808" s="61"/>
      <c r="I808" s="61"/>
    </row>
    <row r="809" spans="8:9">
      <c r="H809" s="61"/>
      <c r="I809" s="61"/>
    </row>
    <row r="810" spans="8:9">
      <c r="H810" s="61"/>
      <c r="I810" s="61"/>
    </row>
    <row r="811" spans="8:9">
      <c r="H811" s="61"/>
      <c r="I811" s="61"/>
    </row>
    <row r="812" spans="8:9">
      <c r="H812" s="61"/>
      <c r="I812" s="61"/>
    </row>
    <row r="813" spans="8:9">
      <c r="H813" s="61"/>
      <c r="I813" s="61"/>
    </row>
    <row r="814" spans="8:9">
      <c r="H814" s="61"/>
      <c r="I814" s="61"/>
    </row>
    <row r="815" spans="8:9">
      <c r="H815" s="61"/>
      <c r="I815" s="61"/>
    </row>
    <row r="816" spans="8:9">
      <c r="H816" s="61"/>
      <c r="I816" s="61"/>
    </row>
    <row r="817" spans="8:9">
      <c r="H817" s="61"/>
      <c r="I817" s="61"/>
    </row>
    <row r="818" spans="8:9">
      <c r="H818" s="61"/>
      <c r="I818" s="61"/>
    </row>
    <row r="819" spans="8:9">
      <c r="H819" s="61"/>
      <c r="I819" s="61"/>
    </row>
    <row r="820" spans="8:9">
      <c r="H820" s="61"/>
      <c r="I820" s="61"/>
    </row>
    <row r="821" spans="8:9">
      <c r="H821" s="61"/>
      <c r="I821" s="61"/>
    </row>
    <row r="822" spans="8:9">
      <c r="H822" s="61"/>
      <c r="I822" s="61"/>
    </row>
    <row r="823" spans="8:9">
      <c r="H823" s="61"/>
      <c r="I823" s="61"/>
    </row>
    <row r="824" spans="8:9">
      <c r="H824" s="61"/>
      <c r="I824" s="61"/>
    </row>
    <row r="825" spans="8:9">
      <c r="H825" s="61"/>
      <c r="I825" s="61"/>
    </row>
    <row r="826" spans="8:9">
      <c r="H826" s="61"/>
      <c r="I826" s="61"/>
    </row>
    <row r="827" spans="8:9">
      <c r="H827" s="61"/>
      <c r="I827" s="61"/>
    </row>
    <row r="828" spans="8:9">
      <c r="H828" s="61"/>
      <c r="I828" s="61"/>
    </row>
    <row r="829" spans="8:9">
      <c r="H829" s="61"/>
      <c r="I829" s="61"/>
    </row>
    <row r="830" spans="8:9">
      <c r="H830" s="61"/>
      <c r="I830" s="61"/>
    </row>
    <row r="831" spans="8:9">
      <c r="H831" s="61"/>
      <c r="I831" s="61"/>
    </row>
    <row r="832" spans="8:9">
      <c r="H832" s="61"/>
      <c r="I832" s="61"/>
    </row>
    <row r="833" spans="8:9">
      <c r="H833" s="61"/>
      <c r="I833" s="61"/>
    </row>
    <row r="834" spans="8:9">
      <c r="H834" s="61"/>
      <c r="I834" s="61"/>
    </row>
    <row r="835" spans="8:9">
      <c r="H835" s="61"/>
      <c r="I835" s="61"/>
    </row>
    <row r="836" spans="8:9">
      <c r="H836" s="61"/>
      <c r="I836" s="61"/>
    </row>
    <row r="837" spans="8:9">
      <c r="H837" s="61"/>
      <c r="I837" s="61"/>
    </row>
    <row r="838" spans="8:9">
      <c r="H838" s="61"/>
      <c r="I838" s="61"/>
    </row>
    <row r="839" spans="8:9">
      <c r="H839" s="61"/>
      <c r="I839" s="61"/>
    </row>
    <row r="840" spans="8:9">
      <c r="H840" s="61"/>
      <c r="I840" s="61"/>
    </row>
    <row r="841" spans="8:9">
      <c r="H841" s="61"/>
      <c r="I841" s="61"/>
    </row>
    <row r="842" spans="8:9">
      <c r="H842" s="61"/>
      <c r="I842" s="61"/>
    </row>
    <row r="843" spans="8:9">
      <c r="H843" s="61"/>
      <c r="I843" s="61"/>
    </row>
    <row r="844" spans="8:9">
      <c r="H844" s="61"/>
      <c r="I844" s="61"/>
    </row>
    <row r="845" spans="8:9">
      <c r="H845" s="61"/>
      <c r="I845" s="61"/>
    </row>
    <row r="846" spans="8:9">
      <c r="H846" s="61"/>
      <c r="I846" s="61"/>
    </row>
    <row r="847" spans="8:9">
      <c r="H847" s="61"/>
      <c r="I847" s="61"/>
    </row>
    <row r="848" spans="8:9">
      <c r="H848" s="61"/>
      <c r="I848" s="61"/>
    </row>
    <row r="849" spans="8:9">
      <c r="H849" s="61"/>
      <c r="I849" s="61"/>
    </row>
    <row r="850" spans="8:9">
      <c r="H850" s="61"/>
      <c r="I850" s="61"/>
    </row>
    <row r="851" spans="8:9">
      <c r="H851" s="61"/>
      <c r="I851" s="61"/>
    </row>
    <row r="852" spans="8:9">
      <c r="H852" s="61"/>
      <c r="I852" s="61"/>
    </row>
    <row r="853" spans="8:9">
      <c r="H853" s="61"/>
      <c r="I853" s="61"/>
    </row>
    <row r="854" spans="8:9">
      <c r="H854" s="61"/>
      <c r="I854" s="61"/>
    </row>
    <row r="855" spans="8:9">
      <c r="H855" s="61"/>
      <c r="I855" s="61"/>
    </row>
    <row r="856" spans="8:9">
      <c r="H856" s="61"/>
      <c r="I856" s="61"/>
    </row>
    <row r="857" spans="8:9">
      <c r="H857" s="61"/>
      <c r="I857" s="61"/>
    </row>
    <row r="858" spans="8:9">
      <c r="H858" s="61"/>
      <c r="I858" s="61"/>
    </row>
    <row r="859" spans="8:9">
      <c r="H859" s="61"/>
      <c r="I859" s="61"/>
    </row>
    <row r="860" spans="8:9">
      <c r="H860" s="61"/>
      <c r="I860" s="61"/>
    </row>
    <row r="861" spans="8:9">
      <c r="H861" s="61"/>
      <c r="I861" s="61"/>
    </row>
    <row r="862" spans="8:9">
      <c r="H862" s="61"/>
      <c r="I862" s="61"/>
    </row>
    <row r="863" spans="8:9">
      <c r="H863" s="61"/>
      <c r="I863" s="61"/>
    </row>
    <row r="864" spans="8:9">
      <c r="H864" s="61"/>
      <c r="I864" s="61"/>
    </row>
    <row r="865" spans="8:9">
      <c r="H865" s="61"/>
      <c r="I865" s="61"/>
    </row>
    <row r="866" spans="8:9">
      <c r="H866" s="61"/>
      <c r="I866" s="61"/>
    </row>
    <row r="867" spans="8:9">
      <c r="H867" s="61"/>
      <c r="I867" s="61"/>
    </row>
    <row r="868" spans="8:9">
      <c r="H868" s="61"/>
      <c r="I868" s="61"/>
    </row>
    <row r="869" spans="8:9">
      <c r="H869" s="61"/>
      <c r="I869" s="61"/>
    </row>
    <row r="870" spans="8:9">
      <c r="H870" s="61"/>
      <c r="I870" s="61"/>
    </row>
    <row r="871" spans="8:9">
      <c r="H871" s="61"/>
      <c r="I871" s="61"/>
    </row>
    <row r="872" spans="8:9">
      <c r="H872" s="61"/>
      <c r="I872" s="61"/>
    </row>
    <row r="873" spans="8:9">
      <c r="H873" s="61"/>
      <c r="I873" s="61"/>
    </row>
    <row r="874" spans="8:9">
      <c r="H874" s="61"/>
      <c r="I874" s="61"/>
    </row>
    <row r="875" spans="8:9">
      <c r="H875" s="61"/>
      <c r="I875" s="61"/>
    </row>
    <row r="876" spans="8:9">
      <c r="H876" s="61"/>
      <c r="I876" s="61"/>
    </row>
    <row r="877" spans="8:9">
      <c r="H877" s="61"/>
      <c r="I877" s="61"/>
    </row>
    <row r="878" spans="8:9">
      <c r="H878" s="61"/>
      <c r="I878" s="61"/>
    </row>
    <row r="879" spans="8:9">
      <c r="H879" s="61"/>
      <c r="I879" s="61"/>
    </row>
    <row r="880" spans="8:9">
      <c r="H880" s="61"/>
      <c r="I880" s="61"/>
    </row>
    <row r="881" spans="8:9">
      <c r="H881" s="61"/>
      <c r="I881" s="61"/>
    </row>
    <row r="882" spans="8:9">
      <c r="H882" s="61"/>
      <c r="I882" s="61"/>
    </row>
    <row r="883" spans="8:9">
      <c r="H883" s="61"/>
      <c r="I883" s="61"/>
    </row>
    <row r="884" spans="8:9">
      <c r="H884" s="61"/>
      <c r="I884" s="61"/>
    </row>
    <row r="885" spans="8:9">
      <c r="H885" s="61"/>
      <c r="I885" s="61"/>
    </row>
    <row r="886" spans="8:9">
      <c r="H886" s="61"/>
      <c r="I886" s="61"/>
    </row>
    <row r="887" spans="8:9">
      <c r="H887" s="61"/>
      <c r="I887" s="61"/>
    </row>
    <row r="888" spans="8:9">
      <c r="H888" s="61"/>
      <c r="I888" s="61"/>
    </row>
    <row r="889" spans="8:9">
      <c r="H889" s="61"/>
      <c r="I889" s="61"/>
    </row>
    <row r="890" spans="8:9">
      <c r="H890" s="61"/>
      <c r="I890" s="61"/>
    </row>
    <row r="891" spans="8:9">
      <c r="H891" s="61"/>
      <c r="I891" s="61"/>
    </row>
    <row r="892" spans="8:9">
      <c r="H892" s="61"/>
      <c r="I892" s="61"/>
    </row>
    <row r="893" spans="8:9">
      <c r="H893" s="61"/>
      <c r="I893" s="61"/>
    </row>
    <row r="894" spans="8:9">
      <c r="H894" s="61"/>
      <c r="I894" s="61"/>
    </row>
    <row r="895" spans="8:9">
      <c r="H895" s="61"/>
      <c r="I895" s="61"/>
    </row>
    <row r="896" spans="8:9">
      <c r="H896" s="61"/>
      <c r="I896" s="61"/>
    </row>
    <row r="897" spans="8:9">
      <c r="H897" s="61"/>
      <c r="I897" s="61"/>
    </row>
    <row r="898" spans="8:9">
      <c r="H898" s="61"/>
      <c r="I898" s="61"/>
    </row>
    <row r="899" spans="8:9">
      <c r="H899" s="61"/>
      <c r="I899" s="61"/>
    </row>
    <row r="900" spans="8:9">
      <c r="H900" s="61"/>
      <c r="I900" s="61"/>
    </row>
    <row r="901" spans="8:9">
      <c r="H901" s="61"/>
      <c r="I901" s="61"/>
    </row>
    <row r="902" spans="8:9">
      <c r="H902" s="61"/>
      <c r="I902" s="61"/>
    </row>
    <row r="903" spans="8:9">
      <c r="H903" s="61"/>
      <c r="I903" s="61"/>
    </row>
    <row r="904" spans="8:9">
      <c r="H904" s="61"/>
      <c r="I904" s="61"/>
    </row>
    <row r="905" spans="8:9">
      <c r="H905" s="61"/>
      <c r="I905" s="61"/>
    </row>
    <row r="906" spans="8:9">
      <c r="H906" s="61"/>
      <c r="I906" s="61"/>
    </row>
    <row r="907" spans="8:9">
      <c r="H907" s="61"/>
      <c r="I907" s="61"/>
    </row>
    <row r="908" spans="8:9">
      <c r="H908" s="61"/>
      <c r="I908" s="61"/>
    </row>
    <row r="909" spans="8:9">
      <c r="H909" s="61"/>
      <c r="I909" s="61"/>
    </row>
    <row r="910" spans="8:9">
      <c r="H910" s="61"/>
      <c r="I910" s="61"/>
    </row>
    <row r="911" spans="8:9">
      <c r="H911" s="61"/>
      <c r="I911" s="61"/>
    </row>
    <row r="912" spans="8:9">
      <c r="H912" s="61"/>
      <c r="I912" s="61"/>
    </row>
    <row r="913" spans="8:9">
      <c r="H913" s="61"/>
      <c r="I913" s="61"/>
    </row>
    <row r="914" spans="8:9">
      <c r="H914" s="61"/>
      <c r="I914" s="61"/>
    </row>
    <row r="915" spans="8:9">
      <c r="H915" s="61"/>
      <c r="I915" s="61"/>
    </row>
    <row r="916" spans="8:9">
      <c r="H916" s="61"/>
      <c r="I916" s="61"/>
    </row>
    <row r="917" spans="8:9">
      <c r="H917" s="61"/>
      <c r="I917" s="61"/>
    </row>
    <row r="918" spans="8:9">
      <c r="H918" s="61"/>
      <c r="I918" s="61"/>
    </row>
    <row r="919" spans="8:9">
      <c r="H919" s="61"/>
      <c r="I919" s="61"/>
    </row>
    <row r="920" spans="8:9">
      <c r="H920" s="61"/>
      <c r="I920" s="61"/>
    </row>
    <row r="921" spans="8:9">
      <c r="H921" s="61"/>
      <c r="I921" s="61"/>
    </row>
    <row r="922" spans="8:9">
      <c r="H922" s="61"/>
      <c r="I922" s="61"/>
    </row>
    <row r="923" spans="8:9">
      <c r="H923" s="61"/>
      <c r="I923" s="61"/>
    </row>
    <row r="924" spans="8:9">
      <c r="H924" s="61"/>
      <c r="I924" s="61"/>
    </row>
    <row r="925" spans="8:9">
      <c r="H925" s="61"/>
      <c r="I925" s="61"/>
    </row>
    <row r="926" spans="8:9">
      <c r="H926" s="61"/>
      <c r="I926" s="61"/>
    </row>
    <row r="927" spans="8:9">
      <c r="H927" s="61"/>
      <c r="I927" s="61"/>
    </row>
    <row r="928" spans="8:9">
      <c r="H928" s="61"/>
      <c r="I928" s="61"/>
    </row>
    <row r="929" spans="8:9">
      <c r="H929" s="61"/>
      <c r="I929" s="61"/>
    </row>
    <row r="930" spans="8:9">
      <c r="H930" s="61"/>
      <c r="I930" s="61"/>
    </row>
    <row r="931" spans="8:9">
      <c r="H931" s="61"/>
      <c r="I931" s="61"/>
    </row>
    <row r="932" spans="8:9">
      <c r="H932" s="61"/>
      <c r="I932" s="61"/>
    </row>
    <row r="933" spans="8:9">
      <c r="H933" s="61"/>
      <c r="I933" s="61"/>
    </row>
    <row r="934" spans="8:9">
      <c r="H934" s="61"/>
      <c r="I934" s="61"/>
    </row>
    <row r="935" spans="8:9">
      <c r="H935" s="61"/>
      <c r="I935" s="61"/>
    </row>
    <row r="936" spans="8:9">
      <c r="H936" s="61"/>
      <c r="I936" s="61"/>
    </row>
    <row r="937" spans="8:9">
      <c r="H937" s="61"/>
      <c r="I937" s="61"/>
    </row>
    <row r="938" spans="8:9">
      <c r="H938" s="61"/>
      <c r="I938" s="61"/>
    </row>
    <row r="939" spans="8:9">
      <c r="H939" s="61"/>
      <c r="I939" s="61"/>
    </row>
    <row r="940" spans="8:9">
      <c r="H940" s="61"/>
      <c r="I940" s="61"/>
    </row>
    <row r="941" spans="8:9">
      <c r="H941" s="61"/>
      <c r="I941" s="61"/>
    </row>
    <row r="942" spans="8:9">
      <c r="H942" s="61"/>
      <c r="I942" s="61"/>
    </row>
    <row r="943" spans="8:9">
      <c r="H943" s="61"/>
      <c r="I943" s="61"/>
    </row>
    <row r="944" spans="8:9">
      <c r="H944" s="61"/>
      <c r="I944" s="61"/>
    </row>
    <row r="945" spans="8:9">
      <c r="H945" s="61"/>
      <c r="I945" s="61"/>
    </row>
    <row r="946" spans="8:9">
      <c r="H946" s="61"/>
      <c r="I946" s="61"/>
    </row>
    <row r="947" spans="8:9">
      <c r="H947" s="61"/>
      <c r="I947" s="61"/>
    </row>
    <row r="948" spans="8:9">
      <c r="H948" s="61"/>
      <c r="I948" s="61"/>
    </row>
    <row r="949" spans="8:9">
      <c r="H949" s="61"/>
      <c r="I949" s="61"/>
    </row>
    <row r="950" spans="8:9">
      <c r="H950" s="61"/>
      <c r="I950" s="61"/>
    </row>
    <row r="951" spans="8:9">
      <c r="H951" s="61"/>
      <c r="I951" s="61"/>
    </row>
    <row r="952" spans="8:9">
      <c r="H952" s="61"/>
      <c r="I952" s="61"/>
    </row>
    <row r="953" spans="8:9">
      <c r="H953" s="61"/>
      <c r="I953" s="61"/>
    </row>
    <row r="954" spans="8:9">
      <c r="H954" s="61"/>
      <c r="I954" s="61"/>
    </row>
    <row r="955" spans="8:9">
      <c r="H955" s="61"/>
      <c r="I955" s="61"/>
    </row>
    <row r="956" spans="8:9">
      <c r="H956" s="61"/>
      <c r="I956" s="61"/>
    </row>
    <row r="957" spans="8:9">
      <c r="H957" s="61"/>
      <c r="I957" s="61"/>
    </row>
    <row r="958" spans="8:9">
      <c r="H958" s="61"/>
      <c r="I958" s="61"/>
    </row>
    <row r="959" spans="8:9">
      <c r="H959" s="61"/>
      <c r="I959" s="61"/>
    </row>
    <row r="960" spans="8:9">
      <c r="H960" s="61"/>
      <c r="I960" s="61"/>
    </row>
    <row r="961" spans="8:9">
      <c r="H961" s="61"/>
      <c r="I961" s="61"/>
    </row>
    <row r="962" spans="8:9">
      <c r="H962" s="61"/>
      <c r="I962" s="61"/>
    </row>
    <row r="963" spans="8:9">
      <c r="H963" s="61"/>
      <c r="I963" s="61"/>
    </row>
    <row r="964" spans="8:9">
      <c r="H964" s="61"/>
      <c r="I964" s="61"/>
    </row>
    <row r="965" spans="8:9">
      <c r="H965" s="61"/>
      <c r="I965" s="61"/>
    </row>
    <row r="966" spans="8:9">
      <c r="H966" s="61"/>
      <c r="I966" s="61"/>
    </row>
    <row r="967" spans="8:9">
      <c r="H967" s="61"/>
      <c r="I967" s="61"/>
    </row>
    <row r="968" spans="8:9">
      <c r="H968" s="61"/>
      <c r="I968" s="61"/>
    </row>
    <row r="969" spans="8:9">
      <c r="H969" s="61"/>
      <c r="I969" s="61"/>
    </row>
    <row r="970" spans="8:9">
      <c r="H970" s="61"/>
      <c r="I970" s="61"/>
    </row>
    <row r="971" spans="8:9">
      <c r="H971" s="61"/>
      <c r="I971" s="61"/>
    </row>
    <row r="972" spans="8:9">
      <c r="H972" s="61"/>
      <c r="I972" s="61"/>
    </row>
    <row r="973" spans="8:9">
      <c r="H973" s="61"/>
      <c r="I973" s="61"/>
    </row>
    <row r="974" spans="8:9">
      <c r="H974" s="61"/>
      <c r="I974" s="61"/>
    </row>
    <row r="975" spans="8:9">
      <c r="H975" s="61"/>
      <c r="I975" s="61"/>
    </row>
    <row r="976" spans="8:9">
      <c r="H976" s="61"/>
      <c r="I976" s="61"/>
    </row>
    <row r="977" spans="8:9">
      <c r="H977" s="61"/>
      <c r="I977" s="61"/>
    </row>
    <row r="978" spans="8:9">
      <c r="H978" s="61"/>
      <c r="I978" s="61"/>
    </row>
    <row r="979" spans="8:9">
      <c r="H979" s="61"/>
      <c r="I979" s="61"/>
    </row>
    <row r="980" spans="8:9">
      <c r="H980" s="61"/>
      <c r="I980" s="61"/>
    </row>
    <row r="981" spans="8:9">
      <c r="H981" s="61"/>
      <c r="I981" s="61"/>
    </row>
    <row r="982" spans="8:9">
      <c r="H982" s="61"/>
      <c r="I982" s="61"/>
    </row>
    <row r="983" spans="8:9">
      <c r="H983" s="61"/>
      <c r="I983" s="61"/>
    </row>
    <row r="984" spans="8:9">
      <c r="H984" s="61"/>
      <c r="I984" s="61"/>
    </row>
    <row r="985" spans="8:9">
      <c r="H985" s="61"/>
      <c r="I985" s="61"/>
    </row>
    <row r="986" spans="8:9">
      <c r="H986" s="61"/>
      <c r="I986" s="61"/>
    </row>
    <row r="987" spans="8:9">
      <c r="H987" s="61"/>
      <c r="I987" s="61"/>
    </row>
    <row r="988" spans="8:9">
      <c r="H988" s="61"/>
      <c r="I988" s="61"/>
    </row>
    <row r="989" spans="8:9">
      <c r="H989" s="61"/>
      <c r="I989" s="61"/>
    </row>
    <row r="990" spans="8:9">
      <c r="H990" s="61"/>
      <c r="I990" s="61"/>
    </row>
    <row r="991" spans="8:9">
      <c r="H991" s="61"/>
      <c r="I991" s="61"/>
    </row>
    <row r="992" spans="8:9">
      <c r="H992" s="61"/>
      <c r="I992" s="61"/>
    </row>
    <row r="993" spans="8:9">
      <c r="H993" s="61"/>
      <c r="I993" s="61"/>
    </row>
    <row r="994" spans="8:9">
      <c r="H994" s="61"/>
      <c r="I994" s="61"/>
    </row>
    <row r="995" spans="8:9">
      <c r="H995" s="61"/>
      <c r="I995" s="61"/>
    </row>
    <row r="996" spans="8:9">
      <c r="H996" s="61"/>
      <c r="I996" s="61"/>
    </row>
    <row r="997" spans="8:9">
      <c r="H997" s="61"/>
      <c r="I997" s="61"/>
    </row>
    <row r="998" spans="8:9">
      <c r="H998" s="61"/>
      <c r="I998" s="61"/>
    </row>
    <row r="999" spans="8:9">
      <c r="H999" s="61"/>
      <c r="I999" s="61"/>
    </row>
    <row r="1000" spans="8:9">
      <c r="H1000" s="61"/>
      <c r="I1000" s="61"/>
    </row>
    <row r="1001" spans="8:9">
      <c r="H1001" s="61"/>
      <c r="I1001" s="61"/>
    </row>
    <row r="1002" spans="8:9">
      <c r="H1002" s="61"/>
      <c r="I1002" s="61"/>
    </row>
    <row r="1003" spans="8:9">
      <c r="H1003" s="61"/>
      <c r="I1003" s="61"/>
    </row>
    <row r="1004" spans="8:9">
      <c r="H1004" s="61"/>
      <c r="I1004" s="61"/>
    </row>
    <row r="1005" spans="8:9">
      <c r="H1005" s="61"/>
      <c r="I1005" s="61"/>
    </row>
    <row r="1006" spans="8:9">
      <c r="H1006" s="61"/>
      <c r="I1006" s="61"/>
    </row>
    <row r="1007" spans="8:9">
      <c r="H1007" s="61"/>
      <c r="I1007" s="61"/>
    </row>
    <row r="1008" spans="8:9">
      <c r="H1008" s="61"/>
      <c r="I1008" s="61"/>
    </row>
    <row r="1009" spans="8:9">
      <c r="H1009" s="61"/>
      <c r="I1009" s="61"/>
    </row>
    <row r="1010" spans="8:9">
      <c r="H1010" s="61"/>
      <c r="I1010" s="61"/>
    </row>
    <row r="1011" spans="8:9">
      <c r="H1011" s="61"/>
      <c r="I1011" s="61"/>
    </row>
    <row r="1012" spans="8:9">
      <c r="H1012" s="61"/>
      <c r="I1012" s="61"/>
    </row>
    <row r="1013" spans="8:9">
      <c r="H1013" s="61"/>
      <c r="I1013" s="61"/>
    </row>
    <row r="1014" spans="8:9">
      <c r="H1014" s="61"/>
      <c r="I1014" s="61"/>
    </row>
    <row r="1015" spans="8:9">
      <c r="H1015" s="61"/>
      <c r="I1015" s="61"/>
    </row>
    <row r="1016" spans="8:9">
      <c r="H1016" s="61"/>
      <c r="I1016" s="61"/>
    </row>
    <row r="1017" spans="8:9">
      <c r="H1017" s="61"/>
      <c r="I1017" s="61"/>
    </row>
    <row r="1018" spans="8:9">
      <c r="H1018" s="61"/>
      <c r="I1018" s="61"/>
    </row>
    <row r="1019" spans="8:9">
      <c r="H1019" s="61"/>
      <c r="I1019" s="61"/>
    </row>
    <row r="1020" spans="8:9">
      <c r="H1020" s="61"/>
      <c r="I1020" s="61"/>
    </row>
    <row r="1021" spans="8:9">
      <c r="H1021" s="61"/>
      <c r="I1021" s="61"/>
    </row>
    <row r="1022" spans="8:9">
      <c r="H1022" s="61"/>
      <c r="I1022" s="61"/>
    </row>
    <row r="1023" spans="8:9">
      <c r="H1023" s="61"/>
      <c r="I1023" s="61"/>
    </row>
    <row r="1024" spans="8:9">
      <c r="H1024" s="61"/>
      <c r="I1024" s="61"/>
    </row>
    <row r="1025" spans="8:9">
      <c r="H1025" s="61"/>
      <c r="I1025" s="61"/>
    </row>
    <row r="1026" spans="8:9">
      <c r="H1026" s="61"/>
      <c r="I1026" s="61"/>
    </row>
    <row r="1027" spans="8:9">
      <c r="H1027" s="61"/>
      <c r="I1027" s="61"/>
    </row>
    <row r="1028" spans="8:9">
      <c r="H1028" s="61"/>
      <c r="I1028" s="61"/>
    </row>
    <row r="1029" spans="8:9">
      <c r="H1029" s="61"/>
      <c r="I1029" s="61"/>
    </row>
    <row r="1030" spans="8:9">
      <c r="H1030" s="61"/>
      <c r="I1030" s="61"/>
    </row>
    <row r="1031" spans="8:9">
      <c r="H1031" s="61"/>
      <c r="I1031" s="61"/>
    </row>
    <row r="1032" spans="8:9">
      <c r="H1032" s="61"/>
      <c r="I1032" s="61"/>
    </row>
    <row r="1033" spans="8:9">
      <c r="H1033" s="61"/>
      <c r="I1033" s="61"/>
    </row>
    <row r="1034" spans="8:9">
      <c r="H1034" s="61"/>
      <c r="I1034" s="61"/>
    </row>
    <row r="1035" spans="8:9">
      <c r="H1035" s="61"/>
      <c r="I1035" s="61"/>
    </row>
    <row r="1036" spans="8:9">
      <c r="H1036" s="61"/>
      <c r="I1036" s="61"/>
    </row>
    <row r="1037" spans="8:9">
      <c r="H1037" s="61"/>
      <c r="I1037" s="61"/>
    </row>
    <row r="1038" spans="8:9">
      <c r="H1038" s="61"/>
      <c r="I1038" s="61"/>
    </row>
    <row r="1039" spans="8:9">
      <c r="H1039" s="61"/>
      <c r="I1039" s="61"/>
    </row>
    <row r="1040" spans="8:9">
      <c r="H1040" s="61"/>
      <c r="I1040" s="61"/>
    </row>
    <row r="1041" spans="8:9">
      <c r="H1041" s="61"/>
      <c r="I1041" s="61"/>
    </row>
    <row r="1042" spans="8:9">
      <c r="H1042" s="61"/>
      <c r="I1042" s="61"/>
    </row>
    <row r="1043" spans="8:9">
      <c r="H1043" s="61"/>
      <c r="I1043" s="61"/>
    </row>
    <row r="1044" spans="8:9">
      <c r="H1044" s="61"/>
      <c r="I1044" s="61"/>
    </row>
    <row r="1045" spans="8:9">
      <c r="H1045" s="61"/>
      <c r="I1045" s="61"/>
    </row>
    <row r="1046" spans="8:9">
      <c r="H1046" s="61"/>
      <c r="I1046" s="61"/>
    </row>
    <row r="1047" spans="8:9">
      <c r="H1047" s="61"/>
      <c r="I1047" s="61"/>
    </row>
    <row r="1048" spans="8:9">
      <c r="H1048" s="61"/>
      <c r="I1048" s="61"/>
    </row>
    <row r="1049" spans="8:9">
      <c r="H1049" s="61"/>
      <c r="I1049" s="61"/>
    </row>
    <row r="1050" spans="8:9">
      <c r="H1050" s="61"/>
      <c r="I1050" s="61"/>
    </row>
    <row r="1051" spans="8:9">
      <c r="H1051" s="61"/>
      <c r="I1051" s="61"/>
    </row>
    <row r="1052" spans="8:9">
      <c r="H1052" s="61"/>
      <c r="I1052" s="61"/>
    </row>
    <row r="1053" spans="8:9">
      <c r="H1053" s="61"/>
      <c r="I1053" s="61"/>
    </row>
    <row r="1054" spans="8:9">
      <c r="H1054" s="61"/>
      <c r="I1054" s="61"/>
    </row>
    <row r="1055" spans="8:9">
      <c r="H1055" s="61"/>
      <c r="I1055" s="61"/>
    </row>
    <row r="1056" spans="8:9">
      <c r="H1056" s="61"/>
      <c r="I1056" s="61"/>
    </row>
    <row r="1057" spans="8:9">
      <c r="H1057" s="61"/>
      <c r="I1057" s="61"/>
    </row>
    <row r="1058" spans="8:9">
      <c r="H1058" s="61"/>
      <c r="I1058" s="61"/>
    </row>
    <row r="1059" spans="8:9">
      <c r="H1059" s="61"/>
      <c r="I1059" s="61"/>
    </row>
    <row r="1060" spans="8:9">
      <c r="H1060" s="61"/>
      <c r="I1060" s="61"/>
    </row>
    <row r="1061" spans="8:9">
      <c r="H1061" s="61"/>
      <c r="I1061" s="61"/>
    </row>
    <row r="1062" spans="8:9">
      <c r="H1062" s="61"/>
      <c r="I1062" s="61"/>
    </row>
    <row r="1063" spans="8:9">
      <c r="H1063" s="61"/>
      <c r="I1063" s="61"/>
    </row>
    <row r="1064" spans="8:9">
      <c r="H1064" s="61"/>
      <c r="I1064" s="61"/>
    </row>
    <row r="1065" spans="8:9">
      <c r="H1065" s="61"/>
      <c r="I1065" s="61"/>
    </row>
    <row r="1066" spans="8:9">
      <c r="H1066" s="61"/>
      <c r="I1066" s="61"/>
    </row>
    <row r="1067" spans="8:9">
      <c r="H1067" s="61"/>
      <c r="I1067" s="61"/>
    </row>
    <row r="1068" spans="8:9">
      <c r="H1068" s="61"/>
      <c r="I1068" s="61"/>
    </row>
    <row r="1069" spans="8:9">
      <c r="H1069" s="61"/>
      <c r="I1069" s="61"/>
    </row>
    <row r="1070" spans="8:9">
      <c r="H1070" s="61"/>
      <c r="I1070" s="61"/>
    </row>
    <row r="1071" spans="8:9">
      <c r="H1071" s="61"/>
      <c r="I1071" s="61"/>
    </row>
    <row r="1072" spans="8:9">
      <c r="H1072" s="61"/>
      <c r="I1072" s="61"/>
    </row>
    <row r="1073" spans="8:9">
      <c r="H1073" s="61"/>
      <c r="I1073" s="61"/>
    </row>
    <row r="1074" spans="8:9">
      <c r="H1074" s="61"/>
      <c r="I1074" s="61"/>
    </row>
    <row r="1075" spans="8:9">
      <c r="H1075" s="61"/>
      <c r="I1075" s="61"/>
    </row>
    <row r="1076" spans="8:9">
      <c r="H1076" s="61"/>
      <c r="I1076" s="61"/>
    </row>
    <row r="1077" spans="8:9">
      <c r="H1077" s="61"/>
      <c r="I1077" s="61"/>
    </row>
    <row r="1078" spans="8:9">
      <c r="H1078" s="61"/>
      <c r="I1078" s="61"/>
    </row>
    <row r="1079" spans="8:9">
      <c r="H1079" s="61"/>
      <c r="I1079" s="61"/>
    </row>
    <row r="1080" spans="8:9">
      <c r="H1080" s="61"/>
      <c r="I1080" s="61"/>
    </row>
    <row r="1081" spans="8:9">
      <c r="H1081" s="61"/>
      <c r="I1081" s="61"/>
    </row>
    <row r="1082" spans="8:9">
      <c r="H1082" s="61"/>
      <c r="I1082" s="61"/>
    </row>
    <row r="1083" spans="8:9">
      <c r="H1083" s="61"/>
      <c r="I1083" s="61"/>
    </row>
    <row r="1084" spans="8:9">
      <c r="H1084" s="61"/>
      <c r="I1084" s="61"/>
    </row>
    <row r="1085" spans="8:9">
      <c r="H1085" s="61"/>
      <c r="I1085" s="61"/>
    </row>
    <row r="1086" spans="8:9">
      <c r="H1086" s="61"/>
      <c r="I1086" s="61"/>
    </row>
    <row r="1087" spans="8:9">
      <c r="H1087" s="61"/>
      <c r="I1087" s="61"/>
    </row>
    <row r="1088" spans="8:9">
      <c r="H1088" s="61"/>
      <c r="I1088" s="61"/>
    </row>
    <row r="1089" spans="8:9">
      <c r="H1089" s="61"/>
      <c r="I1089" s="61"/>
    </row>
    <row r="1090" spans="8:9">
      <c r="H1090" s="61"/>
      <c r="I1090" s="61"/>
    </row>
    <row r="1091" spans="8:9">
      <c r="H1091" s="61"/>
      <c r="I1091" s="61"/>
    </row>
    <row r="1092" spans="8:9">
      <c r="H1092" s="61"/>
      <c r="I1092" s="61"/>
    </row>
    <row r="1093" spans="8:9">
      <c r="H1093" s="61"/>
      <c r="I1093" s="61"/>
    </row>
    <row r="1094" spans="8:9">
      <c r="H1094" s="61"/>
      <c r="I1094" s="61"/>
    </row>
    <row r="1095" spans="8:9">
      <c r="H1095" s="61"/>
      <c r="I1095" s="61"/>
    </row>
    <row r="1096" spans="8:9">
      <c r="H1096" s="61"/>
      <c r="I1096" s="61"/>
    </row>
    <row r="1097" spans="8:9">
      <c r="H1097" s="61"/>
      <c r="I1097" s="61"/>
    </row>
    <row r="1098" spans="8:9">
      <c r="H1098" s="61"/>
      <c r="I1098" s="61"/>
    </row>
    <row r="1099" spans="8:9">
      <c r="H1099" s="61"/>
      <c r="I1099" s="61"/>
    </row>
    <row r="1100" spans="8:9">
      <c r="H1100" s="61"/>
      <c r="I1100" s="61"/>
    </row>
    <row r="1101" spans="8:9">
      <c r="H1101" s="61"/>
      <c r="I1101" s="61"/>
    </row>
    <row r="1102" spans="8:9">
      <c r="H1102" s="61"/>
      <c r="I1102" s="61"/>
    </row>
    <row r="1103" spans="8:9">
      <c r="H1103" s="61"/>
      <c r="I1103" s="61"/>
    </row>
    <row r="1104" spans="8:9">
      <c r="H1104" s="61"/>
      <c r="I1104" s="61"/>
    </row>
    <row r="1105" spans="8:9">
      <c r="H1105" s="61"/>
      <c r="I1105" s="61"/>
    </row>
    <row r="1106" spans="8:9">
      <c r="H1106" s="61"/>
      <c r="I1106" s="61"/>
    </row>
    <row r="1107" spans="8:9">
      <c r="H1107" s="61"/>
      <c r="I1107" s="61"/>
    </row>
    <row r="1108" spans="8:9">
      <c r="H1108" s="61"/>
      <c r="I1108" s="61"/>
    </row>
    <row r="1109" spans="8:9">
      <c r="H1109" s="61"/>
      <c r="I1109" s="61"/>
    </row>
    <row r="1110" spans="8:9">
      <c r="H1110" s="61"/>
      <c r="I1110" s="61"/>
    </row>
    <row r="1111" spans="8:9">
      <c r="H1111" s="61"/>
      <c r="I1111" s="61"/>
    </row>
    <row r="1112" spans="8:9">
      <c r="H1112" s="61"/>
      <c r="I1112" s="61"/>
    </row>
    <row r="1113" spans="8:9">
      <c r="H1113" s="61"/>
      <c r="I1113" s="61"/>
    </row>
    <row r="1114" spans="8:9">
      <c r="H1114" s="61"/>
      <c r="I1114" s="61"/>
    </row>
    <row r="1115" spans="8:9">
      <c r="H1115" s="61"/>
      <c r="I1115" s="61"/>
    </row>
    <row r="1116" spans="8:9">
      <c r="H1116" s="61"/>
      <c r="I1116" s="61"/>
    </row>
    <row r="1117" spans="8:9">
      <c r="H1117" s="61"/>
      <c r="I1117" s="61"/>
    </row>
    <row r="1118" spans="8:9">
      <c r="H1118" s="61"/>
      <c r="I1118" s="61"/>
    </row>
    <row r="1119" spans="8:9">
      <c r="H1119" s="61"/>
      <c r="I1119" s="61"/>
    </row>
    <row r="1120" spans="8:9">
      <c r="H1120" s="61"/>
      <c r="I1120" s="61"/>
    </row>
    <row r="1121" spans="8:9">
      <c r="H1121" s="61"/>
      <c r="I1121" s="61"/>
    </row>
    <row r="1122" spans="8:9">
      <c r="H1122" s="61"/>
      <c r="I1122" s="61"/>
    </row>
    <row r="1123" spans="8:9">
      <c r="H1123" s="61"/>
      <c r="I1123" s="61"/>
    </row>
    <row r="1124" spans="8:9">
      <c r="H1124" s="61"/>
      <c r="I1124" s="61"/>
    </row>
    <row r="1125" spans="8:9">
      <c r="H1125" s="61"/>
      <c r="I1125" s="61"/>
    </row>
    <row r="1126" spans="8:9">
      <c r="H1126" s="61"/>
      <c r="I1126" s="61"/>
    </row>
    <row r="1127" spans="8:9">
      <c r="H1127" s="61"/>
      <c r="I1127" s="61"/>
    </row>
    <row r="1128" spans="8:9">
      <c r="H1128" s="61"/>
      <c r="I1128" s="61"/>
    </row>
    <row r="1129" spans="8:9">
      <c r="H1129" s="61"/>
      <c r="I1129" s="61"/>
    </row>
    <row r="1130" spans="8:9">
      <c r="H1130" s="61"/>
      <c r="I1130" s="61"/>
    </row>
    <row r="1131" spans="8:9">
      <c r="H1131" s="61"/>
      <c r="I1131" s="61"/>
    </row>
    <row r="1132" spans="8:9">
      <c r="H1132" s="61"/>
      <c r="I1132" s="61"/>
    </row>
    <row r="1133" spans="8:9">
      <c r="H1133" s="61"/>
      <c r="I1133" s="61"/>
    </row>
    <row r="1134" spans="8:9">
      <c r="H1134" s="61"/>
      <c r="I1134" s="61"/>
    </row>
    <row r="1135" spans="8:9">
      <c r="H1135" s="61"/>
      <c r="I1135" s="61"/>
    </row>
    <row r="1136" spans="8:9">
      <c r="H1136" s="61"/>
      <c r="I1136" s="61"/>
    </row>
    <row r="1137" spans="8:9">
      <c r="H1137" s="61"/>
      <c r="I1137" s="61"/>
    </row>
    <row r="1138" spans="8:9">
      <c r="H1138" s="61"/>
      <c r="I1138" s="61"/>
    </row>
    <row r="1139" spans="8:9">
      <c r="H1139" s="61"/>
      <c r="I1139" s="61"/>
    </row>
    <row r="1140" spans="8:9">
      <c r="H1140" s="61"/>
      <c r="I1140" s="61"/>
    </row>
    <row r="1141" spans="8:9">
      <c r="H1141" s="61"/>
      <c r="I1141" s="61"/>
    </row>
    <row r="1142" spans="8:9">
      <c r="H1142" s="61"/>
      <c r="I1142" s="61"/>
    </row>
    <row r="1143" spans="8:9">
      <c r="H1143" s="61"/>
      <c r="I1143" s="61"/>
    </row>
    <row r="1144" spans="8:9">
      <c r="H1144" s="61"/>
      <c r="I1144" s="61"/>
    </row>
    <row r="1145" spans="8:9">
      <c r="H1145" s="61"/>
      <c r="I1145" s="61"/>
    </row>
    <row r="1146" spans="8:9">
      <c r="H1146" s="61"/>
      <c r="I1146" s="61"/>
    </row>
    <row r="1147" spans="8:9">
      <c r="H1147" s="61"/>
      <c r="I1147" s="61"/>
    </row>
    <row r="1148" spans="8:9">
      <c r="H1148" s="61"/>
      <c r="I1148" s="61"/>
    </row>
    <row r="1149" spans="8:9">
      <c r="H1149" s="61"/>
      <c r="I1149" s="61"/>
    </row>
    <row r="1150" spans="8:9">
      <c r="H1150" s="61"/>
      <c r="I1150" s="61"/>
    </row>
    <row r="1151" spans="8:9">
      <c r="H1151" s="61"/>
      <c r="I1151" s="61"/>
    </row>
    <row r="1152" spans="8:9">
      <c r="H1152" s="61"/>
      <c r="I1152" s="61"/>
    </row>
    <row r="1153" spans="8:9">
      <c r="H1153" s="61"/>
      <c r="I1153" s="61"/>
    </row>
    <row r="1154" spans="8:9">
      <c r="H1154" s="61"/>
      <c r="I1154" s="61"/>
    </row>
    <row r="1155" spans="8:9">
      <c r="H1155" s="61"/>
      <c r="I1155" s="61"/>
    </row>
    <row r="1156" spans="8:9">
      <c r="H1156" s="61"/>
      <c r="I1156" s="61"/>
    </row>
    <row r="1157" spans="8:9">
      <c r="H1157" s="61"/>
      <c r="I1157" s="61"/>
    </row>
    <row r="1158" spans="8:9">
      <c r="H1158" s="61"/>
      <c r="I1158" s="61"/>
    </row>
    <row r="1159" spans="8:9">
      <c r="H1159" s="61"/>
      <c r="I1159" s="61"/>
    </row>
    <row r="1160" spans="8:9">
      <c r="H1160" s="61"/>
      <c r="I1160" s="61"/>
    </row>
    <row r="1161" spans="8:9">
      <c r="H1161" s="61"/>
      <c r="I1161" s="61"/>
    </row>
    <row r="1162" spans="8:9">
      <c r="H1162" s="61"/>
      <c r="I1162" s="61"/>
    </row>
    <row r="1163" spans="8:9">
      <c r="H1163" s="61"/>
      <c r="I1163" s="61"/>
    </row>
    <row r="1164" spans="8:9">
      <c r="H1164" s="61"/>
      <c r="I1164" s="61"/>
    </row>
    <row r="1165" spans="8:9">
      <c r="H1165" s="61"/>
      <c r="I1165" s="61"/>
    </row>
    <row r="1166" spans="8:9">
      <c r="H1166" s="61"/>
      <c r="I1166" s="61"/>
    </row>
    <row r="1167" spans="8:9">
      <c r="H1167" s="61"/>
      <c r="I1167" s="61"/>
    </row>
    <row r="1168" spans="8:9">
      <c r="H1168" s="61"/>
      <c r="I1168" s="61"/>
    </row>
    <row r="1169" spans="8:9">
      <c r="H1169" s="61"/>
      <c r="I1169" s="61"/>
    </row>
    <row r="1170" spans="8:9">
      <c r="H1170" s="61"/>
      <c r="I1170" s="61"/>
    </row>
    <row r="1171" spans="8:9">
      <c r="H1171" s="61"/>
      <c r="I1171" s="61"/>
    </row>
    <row r="1172" spans="8:9">
      <c r="H1172" s="61"/>
      <c r="I1172" s="61"/>
    </row>
    <row r="1173" spans="8:9">
      <c r="H1173" s="61"/>
      <c r="I1173" s="61"/>
    </row>
    <row r="1174" spans="8:9">
      <c r="H1174" s="61"/>
      <c r="I1174" s="61"/>
    </row>
    <row r="1175" spans="8:9">
      <c r="H1175" s="61"/>
      <c r="I1175" s="61"/>
    </row>
    <row r="1176" spans="8:9">
      <c r="H1176" s="61"/>
      <c r="I1176" s="61"/>
    </row>
    <row r="1177" spans="8:9">
      <c r="H1177" s="61"/>
      <c r="I1177" s="61"/>
    </row>
    <row r="1178" spans="8:9">
      <c r="H1178" s="61"/>
      <c r="I1178" s="61"/>
    </row>
    <row r="1179" spans="8:9">
      <c r="H1179" s="61"/>
      <c r="I1179" s="61"/>
    </row>
    <row r="1180" spans="8:9">
      <c r="H1180" s="61"/>
      <c r="I1180" s="61"/>
    </row>
    <row r="1181" spans="8:9">
      <c r="H1181" s="61"/>
      <c r="I1181" s="61"/>
    </row>
    <row r="1182" spans="8:9">
      <c r="H1182" s="61"/>
      <c r="I1182" s="61"/>
    </row>
    <row r="1183" spans="8:9">
      <c r="H1183" s="61"/>
      <c r="I1183" s="61"/>
    </row>
    <row r="1184" spans="8:9">
      <c r="H1184" s="61"/>
      <c r="I1184" s="61"/>
    </row>
    <row r="1185" spans="8:9">
      <c r="H1185" s="61"/>
      <c r="I1185" s="61"/>
    </row>
    <row r="1186" spans="8:9">
      <c r="H1186" s="61"/>
      <c r="I1186" s="61"/>
    </row>
    <row r="1187" spans="8:9">
      <c r="H1187" s="61"/>
      <c r="I1187" s="61"/>
    </row>
    <row r="1188" spans="8:9">
      <c r="H1188" s="61"/>
      <c r="I1188" s="61"/>
    </row>
    <row r="1189" spans="8:9">
      <c r="H1189" s="61"/>
      <c r="I1189" s="61"/>
    </row>
    <row r="1190" spans="8:9">
      <c r="H1190" s="61"/>
      <c r="I1190" s="61"/>
    </row>
    <row r="1191" spans="8:9">
      <c r="H1191" s="61"/>
      <c r="I1191" s="61"/>
    </row>
    <row r="1192" spans="8:9">
      <c r="H1192" s="61"/>
      <c r="I1192" s="61"/>
    </row>
    <row r="1193" spans="8:9">
      <c r="H1193" s="61"/>
      <c r="I1193" s="61"/>
    </row>
    <row r="1194" spans="8:9">
      <c r="H1194" s="61"/>
      <c r="I1194" s="61"/>
    </row>
    <row r="1195" spans="8:9">
      <c r="H1195" s="61"/>
      <c r="I1195" s="61"/>
    </row>
    <row r="1196" spans="8:9">
      <c r="H1196" s="61"/>
      <c r="I1196" s="61"/>
    </row>
    <row r="1197" spans="8:9">
      <c r="H1197" s="61"/>
      <c r="I1197" s="61"/>
    </row>
    <row r="1198" spans="8:9">
      <c r="H1198" s="61"/>
      <c r="I1198" s="61"/>
    </row>
    <row r="1199" spans="8:9">
      <c r="H1199" s="61"/>
      <c r="I1199" s="61"/>
    </row>
    <row r="1200" spans="8:9">
      <c r="H1200" s="61"/>
      <c r="I1200" s="61"/>
    </row>
    <row r="1201" spans="8:9">
      <c r="H1201" s="61"/>
      <c r="I1201" s="61"/>
    </row>
    <row r="1202" spans="8:9">
      <c r="H1202" s="61"/>
      <c r="I1202" s="61"/>
    </row>
    <row r="1203" spans="8:9">
      <c r="H1203" s="61"/>
      <c r="I1203" s="61"/>
    </row>
    <row r="1204" spans="8:9">
      <c r="H1204" s="61"/>
      <c r="I1204" s="61"/>
    </row>
    <row r="1205" spans="8:9">
      <c r="H1205" s="61"/>
      <c r="I1205" s="61"/>
    </row>
    <row r="1206" spans="8:9">
      <c r="H1206" s="61"/>
      <c r="I1206" s="61"/>
    </row>
    <row r="1207" spans="8:9">
      <c r="H1207" s="61"/>
      <c r="I1207" s="61"/>
    </row>
    <row r="1208" spans="8:9">
      <c r="H1208" s="61"/>
      <c r="I1208" s="61"/>
    </row>
    <row r="1209" spans="8:9">
      <c r="H1209" s="61"/>
      <c r="I1209" s="61"/>
    </row>
    <row r="1210" spans="8:9">
      <c r="H1210" s="61"/>
      <c r="I1210" s="61"/>
    </row>
    <row r="1211" spans="8:9">
      <c r="H1211" s="61"/>
      <c r="I1211" s="61"/>
    </row>
    <row r="1212" spans="8:9">
      <c r="H1212" s="61"/>
      <c r="I1212" s="61"/>
    </row>
    <row r="1213" spans="8:9">
      <c r="H1213" s="61"/>
      <c r="I1213" s="61"/>
    </row>
    <row r="1214" spans="8:9">
      <c r="H1214" s="61"/>
      <c r="I1214" s="61"/>
    </row>
    <row r="1215" spans="8:9">
      <c r="H1215" s="61"/>
      <c r="I1215" s="61"/>
    </row>
    <row r="1216" spans="8:9">
      <c r="H1216" s="61"/>
      <c r="I1216" s="61"/>
    </row>
    <row r="1217" spans="8:9">
      <c r="H1217" s="61"/>
      <c r="I1217" s="61"/>
    </row>
    <row r="1218" spans="8:9">
      <c r="H1218" s="61"/>
      <c r="I1218" s="61"/>
    </row>
    <row r="1219" spans="8:9">
      <c r="H1219" s="61"/>
      <c r="I1219" s="61"/>
    </row>
    <row r="1220" spans="8:9">
      <c r="H1220" s="61"/>
      <c r="I1220" s="61"/>
    </row>
    <row r="1221" spans="8:9">
      <c r="H1221" s="61"/>
      <c r="I1221" s="61"/>
    </row>
    <row r="1222" spans="8:9">
      <c r="H1222" s="61"/>
      <c r="I1222" s="61"/>
    </row>
    <row r="1223" spans="8:9">
      <c r="H1223" s="61"/>
      <c r="I1223" s="61"/>
    </row>
    <row r="1224" spans="8:9">
      <c r="H1224" s="61"/>
      <c r="I1224" s="61"/>
    </row>
    <row r="1225" spans="8:9">
      <c r="H1225" s="61"/>
      <c r="I1225" s="61"/>
    </row>
    <row r="1226" spans="8:9">
      <c r="H1226" s="61"/>
      <c r="I1226" s="61"/>
    </row>
    <row r="1227" spans="8:9">
      <c r="H1227" s="61"/>
      <c r="I1227" s="61"/>
    </row>
    <row r="1228" spans="8:9">
      <c r="H1228" s="61"/>
      <c r="I1228" s="61"/>
    </row>
    <row r="1229" spans="8:9">
      <c r="H1229" s="61"/>
      <c r="I1229" s="61"/>
    </row>
    <row r="1230" spans="8:9">
      <c r="H1230" s="61"/>
      <c r="I1230" s="61"/>
    </row>
    <row r="1231" spans="8:9">
      <c r="H1231" s="61"/>
      <c r="I1231" s="61"/>
    </row>
    <row r="1232" spans="8:9">
      <c r="H1232" s="61"/>
      <c r="I1232" s="61"/>
    </row>
    <row r="1233" spans="8:9">
      <c r="H1233" s="61"/>
      <c r="I1233" s="61"/>
    </row>
    <row r="1234" spans="8:9">
      <c r="H1234" s="61"/>
      <c r="I1234" s="61"/>
    </row>
    <row r="1235" spans="8:9">
      <c r="H1235" s="61"/>
      <c r="I1235" s="61"/>
    </row>
    <row r="1236" spans="8:9">
      <c r="H1236" s="61"/>
      <c r="I1236" s="61"/>
    </row>
    <row r="1237" spans="8:9">
      <c r="H1237" s="61"/>
      <c r="I1237" s="61"/>
    </row>
    <row r="1238" spans="8:9">
      <c r="H1238" s="61"/>
      <c r="I1238" s="61"/>
    </row>
    <row r="1239" spans="8:9">
      <c r="H1239" s="61"/>
      <c r="I1239" s="61"/>
    </row>
    <row r="1240" spans="8:9">
      <c r="H1240" s="61"/>
      <c r="I1240" s="61"/>
    </row>
    <row r="1241" spans="8:9">
      <c r="H1241" s="61"/>
      <c r="I1241" s="61"/>
    </row>
    <row r="1242" spans="8:9">
      <c r="H1242" s="61"/>
      <c r="I1242" s="61"/>
    </row>
    <row r="1243" spans="8:9">
      <c r="H1243" s="61"/>
      <c r="I1243" s="61"/>
    </row>
    <row r="1244" spans="8:9">
      <c r="H1244" s="61"/>
      <c r="I1244" s="61"/>
    </row>
    <row r="1245" spans="8:9">
      <c r="H1245" s="61"/>
      <c r="I1245" s="61"/>
    </row>
    <row r="1246" spans="8:9">
      <c r="H1246" s="61"/>
      <c r="I1246" s="61"/>
    </row>
    <row r="1247" spans="8:9">
      <c r="H1247" s="61"/>
      <c r="I1247" s="61"/>
    </row>
    <row r="1248" spans="8:9">
      <c r="H1248" s="61"/>
      <c r="I1248" s="61"/>
    </row>
    <row r="1249" spans="8:9">
      <c r="H1249" s="61"/>
      <c r="I1249" s="61"/>
    </row>
    <row r="1250" spans="8:9">
      <c r="H1250" s="61"/>
      <c r="I1250" s="61"/>
    </row>
    <row r="1251" spans="8:9">
      <c r="H1251" s="61"/>
      <c r="I1251" s="61"/>
    </row>
    <row r="1252" spans="8:9">
      <c r="H1252" s="61"/>
      <c r="I1252" s="61"/>
    </row>
    <row r="1253" spans="8:9">
      <c r="H1253" s="61"/>
      <c r="I1253" s="61"/>
    </row>
    <row r="1254" spans="8:9">
      <c r="H1254" s="61"/>
      <c r="I1254" s="61"/>
    </row>
    <row r="1255" spans="8:9">
      <c r="H1255" s="61"/>
      <c r="I1255" s="61"/>
    </row>
    <row r="1256" spans="8:9">
      <c r="H1256" s="61"/>
      <c r="I1256" s="61"/>
    </row>
    <row r="1257" spans="8:9">
      <c r="H1257" s="61"/>
      <c r="I1257" s="61"/>
    </row>
    <row r="1258" spans="8:9">
      <c r="H1258" s="61"/>
      <c r="I1258" s="61"/>
    </row>
    <row r="1259" spans="8:9">
      <c r="H1259" s="61"/>
      <c r="I1259" s="61"/>
    </row>
    <row r="1260" spans="8:9">
      <c r="H1260" s="61"/>
      <c r="I1260" s="61"/>
    </row>
    <row r="1261" spans="8:9">
      <c r="H1261" s="61"/>
      <c r="I1261" s="61"/>
    </row>
    <row r="1262" spans="8:9">
      <c r="H1262" s="61"/>
      <c r="I1262" s="61"/>
    </row>
    <row r="1263" spans="8:9">
      <c r="H1263" s="61"/>
      <c r="I1263" s="61"/>
    </row>
    <row r="1264" spans="8:9">
      <c r="H1264" s="61"/>
      <c r="I1264" s="61"/>
    </row>
    <row r="1265" spans="8:9">
      <c r="H1265" s="61"/>
      <c r="I1265" s="61"/>
    </row>
    <row r="1266" spans="8:9">
      <c r="H1266" s="61"/>
      <c r="I1266" s="61"/>
    </row>
    <row r="1267" spans="8:9">
      <c r="H1267" s="61"/>
      <c r="I1267" s="61"/>
    </row>
    <row r="1268" spans="8:9">
      <c r="H1268" s="61"/>
      <c r="I1268" s="61"/>
    </row>
    <row r="1269" spans="8:9">
      <c r="H1269" s="61"/>
      <c r="I1269" s="61"/>
    </row>
    <row r="1270" spans="8:9">
      <c r="H1270" s="61"/>
      <c r="I1270" s="61"/>
    </row>
    <row r="1271" spans="8:9">
      <c r="H1271" s="61"/>
      <c r="I1271" s="61"/>
    </row>
    <row r="1272" spans="8:9">
      <c r="H1272" s="61"/>
      <c r="I1272" s="61"/>
    </row>
    <row r="1273" spans="8:9">
      <c r="H1273" s="61"/>
      <c r="I1273" s="61"/>
    </row>
    <row r="1274" spans="8:9">
      <c r="H1274" s="61"/>
      <c r="I1274" s="61"/>
    </row>
    <row r="1275" spans="8:9">
      <c r="H1275" s="61"/>
      <c r="I1275" s="61"/>
    </row>
    <row r="1276" spans="8:9">
      <c r="H1276" s="61"/>
      <c r="I1276" s="61"/>
    </row>
    <row r="1277" spans="8:9">
      <c r="H1277" s="61"/>
      <c r="I1277" s="61"/>
    </row>
    <row r="1278" spans="8:9">
      <c r="H1278" s="61"/>
      <c r="I1278" s="61"/>
    </row>
    <row r="1279" spans="8:9">
      <c r="H1279" s="61"/>
      <c r="I1279" s="61"/>
    </row>
    <row r="1280" spans="8:9">
      <c r="H1280" s="61"/>
      <c r="I1280" s="61"/>
    </row>
    <row r="1281" spans="8:9">
      <c r="H1281" s="61"/>
      <c r="I1281" s="61"/>
    </row>
    <row r="1282" spans="8:9">
      <c r="H1282" s="61"/>
      <c r="I1282" s="61"/>
    </row>
    <row r="1283" spans="8:9">
      <c r="H1283" s="61"/>
      <c r="I1283" s="61"/>
    </row>
    <row r="1284" spans="8:9">
      <c r="H1284" s="61"/>
      <c r="I1284" s="61"/>
    </row>
    <row r="1285" spans="8:9">
      <c r="H1285" s="61"/>
      <c r="I1285" s="61"/>
    </row>
    <row r="1286" spans="8:9">
      <c r="H1286" s="61"/>
      <c r="I1286" s="61"/>
    </row>
    <row r="1287" spans="8:9">
      <c r="H1287" s="61"/>
      <c r="I1287" s="61"/>
    </row>
    <row r="1288" spans="8:9">
      <c r="H1288" s="61"/>
      <c r="I1288" s="61"/>
    </row>
    <row r="1289" spans="8:9">
      <c r="H1289" s="61"/>
      <c r="I1289" s="61"/>
    </row>
    <row r="1290" spans="8:9">
      <c r="H1290" s="61"/>
      <c r="I1290" s="61"/>
    </row>
    <row r="1291" spans="8:9">
      <c r="H1291" s="61"/>
      <c r="I1291" s="61"/>
    </row>
    <row r="1292" spans="8:9">
      <c r="H1292" s="61"/>
      <c r="I1292" s="61"/>
    </row>
    <row r="1293" spans="8:9">
      <c r="H1293" s="61"/>
      <c r="I1293" s="61"/>
    </row>
    <row r="1294" spans="8:9">
      <c r="H1294" s="61"/>
      <c r="I1294" s="61"/>
    </row>
    <row r="1295" spans="8:9">
      <c r="H1295" s="61"/>
      <c r="I1295" s="61"/>
    </row>
    <row r="1296" spans="8:9">
      <c r="H1296" s="61"/>
      <c r="I1296" s="61"/>
    </row>
    <row r="1297" spans="8:9">
      <c r="H1297" s="61"/>
      <c r="I1297" s="61"/>
    </row>
    <row r="1298" spans="8:9">
      <c r="H1298" s="61"/>
      <c r="I1298" s="61"/>
    </row>
    <row r="1299" spans="8:9">
      <c r="H1299" s="61"/>
      <c r="I1299" s="61"/>
    </row>
    <row r="1300" spans="8:9">
      <c r="H1300" s="61"/>
      <c r="I1300" s="61"/>
    </row>
    <row r="1301" spans="8:9">
      <c r="H1301" s="61"/>
      <c r="I1301" s="61"/>
    </row>
    <row r="1302" spans="8:9">
      <c r="H1302" s="61"/>
      <c r="I1302" s="61"/>
    </row>
    <row r="1303" spans="8:9">
      <c r="H1303" s="61"/>
      <c r="I1303" s="61"/>
    </row>
    <row r="1304" spans="8:9">
      <c r="H1304" s="61"/>
      <c r="I1304" s="61"/>
    </row>
    <row r="1305" spans="8:9">
      <c r="H1305" s="61"/>
      <c r="I1305" s="61"/>
    </row>
    <row r="1306" spans="8:9">
      <c r="H1306" s="61"/>
      <c r="I1306" s="61"/>
    </row>
    <row r="1307" spans="8:9">
      <c r="H1307" s="61"/>
      <c r="I1307" s="61"/>
    </row>
    <row r="1308" spans="8:9">
      <c r="H1308" s="61"/>
      <c r="I1308" s="61"/>
    </row>
    <row r="1309" spans="8:9">
      <c r="H1309" s="61"/>
      <c r="I1309" s="61"/>
    </row>
    <row r="1310" spans="8:9">
      <c r="H1310" s="61"/>
      <c r="I1310" s="61"/>
    </row>
    <row r="1311" spans="8:9">
      <c r="H1311" s="61"/>
      <c r="I1311" s="61"/>
    </row>
    <row r="1312" spans="8:9">
      <c r="H1312" s="61"/>
      <c r="I1312" s="61"/>
    </row>
    <row r="1313" spans="8:9">
      <c r="H1313" s="61"/>
      <c r="I1313" s="61"/>
    </row>
    <row r="1314" spans="8:9">
      <c r="H1314" s="61"/>
      <c r="I1314" s="61"/>
    </row>
    <row r="1315" spans="8:9">
      <c r="H1315" s="61"/>
      <c r="I1315" s="61"/>
    </row>
    <row r="1316" spans="8:9">
      <c r="H1316" s="61"/>
      <c r="I1316" s="61"/>
    </row>
    <row r="1317" spans="8:9">
      <c r="H1317" s="61"/>
      <c r="I1317" s="61"/>
    </row>
    <row r="1318" spans="8:9">
      <c r="H1318" s="61"/>
      <c r="I1318" s="61"/>
    </row>
    <row r="1319" spans="8:9">
      <c r="H1319" s="61"/>
      <c r="I1319" s="61"/>
    </row>
    <row r="1320" spans="8:9">
      <c r="H1320" s="61"/>
      <c r="I1320" s="61"/>
    </row>
    <row r="1321" spans="8:9">
      <c r="H1321" s="61"/>
      <c r="I1321" s="61"/>
    </row>
    <row r="1322" spans="8:9">
      <c r="H1322" s="61"/>
      <c r="I1322" s="61"/>
    </row>
    <row r="1323" spans="8:9">
      <c r="H1323" s="61"/>
      <c r="I1323" s="61"/>
    </row>
    <row r="1324" spans="8:9">
      <c r="H1324" s="61"/>
      <c r="I1324" s="61"/>
    </row>
    <row r="1325" spans="8:9">
      <c r="H1325" s="61"/>
      <c r="I1325" s="61"/>
    </row>
    <row r="1326" spans="8:9">
      <c r="H1326" s="61"/>
      <c r="I1326" s="61"/>
    </row>
    <row r="1327" spans="8:9">
      <c r="H1327" s="61"/>
      <c r="I1327" s="61"/>
    </row>
    <row r="1328" spans="8:9">
      <c r="H1328" s="61"/>
      <c r="I1328" s="61"/>
    </row>
    <row r="1329" spans="8:9">
      <c r="H1329" s="61"/>
      <c r="I1329" s="61"/>
    </row>
    <row r="1330" spans="8:9">
      <c r="H1330" s="61"/>
      <c r="I1330" s="61"/>
    </row>
    <row r="1331" spans="8:9">
      <c r="H1331" s="61"/>
      <c r="I1331" s="61"/>
    </row>
    <row r="1332" spans="8:9">
      <c r="H1332" s="61"/>
      <c r="I1332" s="61"/>
    </row>
    <row r="1333" spans="8:9">
      <c r="H1333" s="61"/>
      <c r="I1333" s="61"/>
    </row>
    <row r="1334" spans="8:9">
      <c r="H1334" s="61"/>
      <c r="I1334" s="61"/>
    </row>
    <row r="1335" spans="8:9">
      <c r="H1335" s="61"/>
      <c r="I1335" s="61"/>
    </row>
    <row r="1336" spans="8:9">
      <c r="H1336" s="61"/>
      <c r="I1336" s="61"/>
    </row>
    <row r="1337" spans="8:9">
      <c r="H1337" s="61"/>
      <c r="I1337" s="61"/>
    </row>
    <row r="1338" spans="8:9">
      <c r="H1338" s="61"/>
      <c r="I1338" s="61"/>
    </row>
    <row r="1339" spans="8:9">
      <c r="H1339" s="61"/>
      <c r="I1339" s="61"/>
    </row>
    <row r="1340" spans="8:9">
      <c r="H1340" s="61"/>
      <c r="I1340" s="61"/>
    </row>
    <row r="1341" spans="8:9">
      <c r="H1341" s="61"/>
      <c r="I1341" s="61"/>
    </row>
    <row r="1342" spans="8:9">
      <c r="H1342" s="61"/>
      <c r="I1342" s="61"/>
    </row>
    <row r="1343" spans="8:9">
      <c r="H1343" s="61"/>
      <c r="I1343" s="61"/>
    </row>
    <row r="1344" spans="8:9">
      <c r="H1344" s="61"/>
      <c r="I1344" s="61"/>
    </row>
    <row r="1345" spans="8:9">
      <c r="H1345" s="61"/>
      <c r="I1345" s="61"/>
    </row>
    <row r="1346" spans="8:9">
      <c r="H1346" s="61"/>
      <c r="I1346" s="61"/>
    </row>
    <row r="1347" spans="8:9">
      <c r="H1347" s="61"/>
      <c r="I1347" s="61"/>
    </row>
    <row r="1348" spans="8:9">
      <c r="H1348" s="61"/>
      <c r="I1348" s="61"/>
    </row>
    <row r="1349" spans="8:9">
      <c r="H1349" s="61"/>
      <c r="I1349" s="61"/>
    </row>
    <row r="1350" spans="8:9">
      <c r="H1350" s="61"/>
      <c r="I1350" s="61"/>
    </row>
    <row r="1351" spans="8:9">
      <c r="H1351" s="61"/>
      <c r="I1351" s="61"/>
    </row>
    <row r="1352" spans="8:9">
      <c r="H1352" s="61"/>
      <c r="I1352" s="61"/>
    </row>
    <row r="1353" spans="8:9">
      <c r="H1353" s="61"/>
      <c r="I1353" s="61"/>
    </row>
    <row r="1354" spans="8:9">
      <c r="H1354" s="61"/>
      <c r="I1354" s="61"/>
    </row>
    <row r="1355" spans="8:9">
      <c r="H1355" s="61"/>
      <c r="I1355" s="61"/>
    </row>
    <row r="1356" spans="8:9">
      <c r="H1356" s="61"/>
      <c r="I1356" s="61"/>
    </row>
    <row r="1357" spans="8:9">
      <c r="H1357" s="61"/>
      <c r="I1357" s="61"/>
    </row>
    <row r="1358" spans="8:9">
      <c r="H1358" s="61"/>
      <c r="I1358" s="61"/>
    </row>
    <row r="1359" spans="8:9">
      <c r="H1359" s="61"/>
      <c r="I1359" s="61"/>
    </row>
    <row r="1360" spans="8:9">
      <c r="H1360" s="61"/>
      <c r="I1360" s="61"/>
    </row>
    <row r="1361" spans="8:9">
      <c r="H1361" s="61"/>
      <c r="I1361" s="61"/>
    </row>
    <row r="1362" spans="8:9">
      <c r="H1362" s="61"/>
      <c r="I1362" s="61"/>
    </row>
    <row r="1363" spans="8:9">
      <c r="H1363" s="61"/>
      <c r="I1363" s="61"/>
    </row>
    <row r="1364" spans="8:9">
      <c r="H1364" s="61"/>
      <c r="I1364" s="61"/>
    </row>
    <row r="1365" spans="8:9">
      <c r="H1365" s="61"/>
      <c r="I1365" s="61"/>
    </row>
    <row r="1366" spans="8:9">
      <c r="H1366" s="61"/>
      <c r="I1366" s="61"/>
    </row>
    <row r="1367" spans="8:9">
      <c r="H1367" s="61"/>
      <c r="I1367" s="61"/>
    </row>
    <row r="1368" spans="8:9">
      <c r="H1368" s="61"/>
      <c r="I1368" s="61"/>
    </row>
    <row r="1369" spans="8:9">
      <c r="H1369" s="61"/>
      <c r="I1369" s="61"/>
    </row>
    <row r="1370" spans="8:9">
      <c r="H1370" s="61"/>
      <c r="I1370" s="61"/>
    </row>
    <row r="1371" spans="8:9">
      <c r="H1371" s="61"/>
      <c r="I1371" s="61"/>
    </row>
    <row r="1372" spans="8:9">
      <c r="H1372" s="61"/>
      <c r="I1372" s="61"/>
    </row>
    <row r="1373" spans="8:9">
      <c r="H1373" s="61"/>
      <c r="I1373" s="61"/>
    </row>
    <row r="1374" spans="8:9">
      <c r="H1374" s="61"/>
      <c r="I1374" s="61"/>
    </row>
    <row r="1375" spans="8:9">
      <c r="H1375" s="61"/>
      <c r="I1375" s="61"/>
    </row>
    <row r="1376" spans="8:9">
      <c r="H1376" s="61"/>
      <c r="I1376" s="61"/>
    </row>
    <row r="1377" spans="8:9">
      <c r="H1377" s="61"/>
      <c r="I1377" s="61"/>
    </row>
    <row r="1378" spans="8:9">
      <c r="H1378" s="61"/>
      <c r="I1378" s="61"/>
    </row>
    <row r="1379" spans="8:9">
      <c r="H1379" s="61"/>
      <c r="I1379" s="61"/>
    </row>
    <row r="1380" spans="8:9">
      <c r="H1380" s="61"/>
      <c r="I1380" s="61"/>
    </row>
    <row r="1381" spans="8:9">
      <c r="H1381" s="61"/>
      <c r="I1381" s="61"/>
    </row>
    <row r="1382" spans="8:9">
      <c r="H1382" s="61"/>
      <c r="I1382" s="61"/>
    </row>
    <row r="1383" spans="8:9">
      <c r="H1383" s="61"/>
      <c r="I1383" s="61"/>
    </row>
    <row r="1384" spans="8:9">
      <c r="H1384" s="61"/>
      <c r="I1384" s="61"/>
    </row>
    <row r="1385" spans="8:9">
      <c r="H1385" s="61"/>
      <c r="I1385" s="61"/>
    </row>
    <row r="1386" spans="8:9">
      <c r="H1386" s="61"/>
      <c r="I1386" s="61"/>
    </row>
    <row r="1387" spans="8:9">
      <c r="H1387" s="61"/>
      <c r="I1387" s="61"/>
    </row>
    <row r="1388" spans="8:9">
      <c r="H1388" s="61"/>
      <c r="I1388" s="61"/>
    </row>
    <row r="1389" spans="8:9">
      <c r="H1389" s="61"/>
      <c r="I1389" s="61"/>
    </row>
    <row r="1390" spans="8:9">
      <c r="H1390" s="61"/>
      <c r="I1390" s="61"/>
    </row>
    <row r="1391" spans="8:9">
      <c r="H1391" s="61"/>
      <c r="I1391" s="61"/>
    </row>
    <row r="1392" spans="8:9">
      <c r="H1392" s="61"/>
      <c r="I1392" s="61"/>
    </row>
    <row r="1393" spans="8:9">
      <c r="H1393" s="61"/>
      <c r="I1393" s="61"/>
    </row>
    <row r="1394" spans="8:9">
      <c r="H1394" s="61"/>
      <c r="I1394" s="61"/>
    </row>
    <row r="1395" spans="8:9">
      <c r="H1395" s="61"/>
      <c r="I1395" s="61"/>
    </row>
    <row r="1396" spans="8:9">
      <c r="H1396" s="61"/>
      <c r="I1396" s="61"/>
    </row>
    <row r="1397" spans="8:9">
      <c r="H1397" s="61"/>
      <c r="I1397" s="61"/>
    </row>
    <row r="1398" spans="8:9">
      <c r="H1398" s="61"/>
      <c r="I1398" s="61"/>
    </row>
    <row r="1399" spans="8:9">
      <c r="H1399" s="61"/>
      <c r="I1399" s="61"/>
    </row>
    <row r="1400" spans="8:9">
      <c r="H1400" s="61"/>
      <c r="I1400" s="61"/>
    </row>
    <row r="1401" spans="8:9">
      <c r="H1401" s="61"/>
      <c r="I1401" s="61"/>
    </row>
    <row r="1402" spans="8:9">
      <c r="H1402" s="61"/>
      <c r="I1402" s="61"/>
    </row>
    <row r="1403" spans="8:9">
      <c r="H1403" s="61"/>
      <c r="I1403" s="61"/>
    </row>
    <row r="1404" spans="8:9">
      <c r="H1404" s="61"/>
      <c r="I1404" s="61"/>
    </row>
    <row r="1405" spans="8:9">
      <c r="H1405" s="61"/>
      <c r="I1405" s="61"/>
    </row>
    <row r="1406" spans="8:9">
      <c r="H1406" s="61"/>
      <c r="I1406" s="61"/>
    </row>
    <row r="1407" spans="8:9">
      <c r="H1407" s="61"/>
      <c r="I1407" s="61"/>
    </row>
    <row r="1408" spans="8:9">
      <c r="H1408" s="61"/>
      <c r="I1408" s="61"/>
    </row>
    <row r="1409" spans="8:9">
      <c r="H1409" s="61"/>
      <c r="I1409" s="61"/>
    </row>
    <row r="1410" spans="8:9">
      <c r="H1410" s="61"/>
      <c r="I1410" s="61"/>
    </row>
    <row r="1411" spans="8:9">
      <c r="H1411" s="61"/>
      <c r="I1411" s="61"/>
    </row>
    <row r="1412" spans="8:9">
      <c r="H1412" s="61"/>
      <c r="I1412" s="61"/>
    </row>
    <row r="1413" spans="8:9">
      <c r="H1413" s="61"/>
      <c r="I1413" s="61"/>
    </row>
    <row r="1414" spans="8:9">
      <c r="H1414" s="61"/>
      <c r="I1414" s="61"/>
    </row>
    <row r="1415" spans="8:9">
      <c r="H1415" s="61"/>
      <c r="I1415" s="61"/>
    </row>
    <row r="1416" spans="8:9">
      <c r="H1416" s="61"/>
      <c r="I1416" s="61"/>
    </row>
    <row r="1417" spans="8:9">
      <c r="H1417" s="61"/>
      <c r="I1417" s="61"/>
    </row>
    <row r="1418" spans="8:9">
      <c r="H1418" s="61"/>
      <c r="I1418" s="61"/>
    </row>
    <row r="1419" spans="8:9">
      <c r="H1419" s="61"/>
      <c r="I1419" s="61"/>
    </row>
    <row r="1420" spans="8:9">
      <c r="H1420" s="61"/>
      <c r="I1420" s="61"/>
    </row>
    <row r="1421" spans="8:9">
      <c r="H1421" s="61"/>
      <c r="I1421" s="61"/>
    </row>
    <row r="1422" spans="8:9">
      <c r="H1422" s="61"/>
      <c r="I1422" s="61"/>
    </row>
    <row r="1423" spans="8:9">
      <c r="H1423" s="61"/>
      <c r="I1423" s="61"/>
    </row>
    <row r="1424" spans="8:9">
      <c r="H1424" s="61"/>
      <c r="I1424" s="61"/>
    </row>
    <row r="1425" spans="8:9">
      <c r="H1425" s="61"/>
      <c r="I1425" s="61"/>
    </row>
    <row r="1426" spans="8:9">
      <c r="H1426" s="61"/>
      <c r="I1426" s="61"/>
    </row>
    <row r="1427" spans="8:9">
      <c r="H1427" s="61"/>
      <c r="I1427" s="61"/>
    </row>
    <row r="1428" spans="8:9">
      <c r="H1428" s="61"/>
      <c r="I1428" s="61"/>
    </row>
    <row r="1429" spans="8:9">
      <c r="H1429" s="61"/>
      <c r="I1429" s="61"/>
    </row>
    <row r="1430" spans="8:9">
      <c r="H1430" s="61"/>
      <c r="I1430" s="61"/>
    </row>
    <row r="1431" spans="8:9">
      <c r="H1431" s="61"/>
      <c r="I1431" s="61"/>
    </row>
    <row r="1432" spans="8:9">
      <c r="H1432" s="61"/>
      <c r="I1432" s="61"/>
    </row>
    <row r="1433" spans="8:9">
      <c r="H1433" s="61"/>
      <c r="I1433" s="61"/>
    </row>
    <row r="1434" spans="8:9">
      <c r="H1434" s="61"/>
      <c r="I1434" s="61"/>
    </row>
    <row r="1435" spans="8:9">
      <c r="H1435" s="61"/>
      <c r="I1435" s="61"/>
    </row>
    <row r="1436" spans="8:9">
      <c r="H1436" s="61"/>
      <c r="I1436" s="61"/>
    </row>
    <row r="1437" spans="8:9">
      <c r="H1437" s="61"/>
      <c r="I1437" s="61"/>
    </row>
    <row r="1438" spans="8:9">
      <c r="H1438" s="61"/>
      <c r="I1438" s="61"/>
    </row>
    <row r="1439" spans="8:9">
      <c r="H1439" s="61"/>
      <c r="I1439" s="61"/>
    </row>
    <row r="1440" spans="8:9">
      <c r="H1440" s="61"/>
      <c r="I1440" s="61"/>
    </row>
    <row r="1441" spans="8:9">
      <c r="H1441" s="61"/>
      <c r="I1441" s="61"/>
    </row>
    <row r="1442" spans="8:9">
      <c r="H1442" s="61"/>
      <c r="I1442" s="61"/>
    </row>
    <row r="1443" spans="8:9">
      <c r="H1443" s="61"/>
      <c r="I1443" s="61"/>
    </row>
    <row r="1444" spans="8:9">
      <c r="H1444" s="61"/>
      <c r="I1444" s="61"/>
    </row>
    <row r="1445" spans="8:9">
      <c r="H1445" s="61"/>
      <c r="I1445" s="61"/>
    </row>
    <row r="1446" spans="8:9">
      <c r="H1446" s="61"/>
      <c r="I1446" s="61"/>
    </row>
    <row r="1447" spans="8:9">
      <c r="H1447" s="61"/>
      <c r="I1447" s="61"/>
    </row>
    <row r="1448" spans="8:9">
      <c r="H1448" s="61"/>
      <c r="I1448" s="61"/>
    </row>
    <row r="1449" spans="8:9">
      <c r="H1449" s="61"/>
      <c r="I1449" s="61"/>
    </row>
    <row r="1450" spans="8:9">
      <c r="H1450" s="61"/>
      <c r="I1450" s="61"/>
    </row>
    <row r="1451" spans="8:9">
      <c r="H1451" s="61"/>
      <c r="I1451" s="61"/>
    </row>
    <row r="1452" spans="8:9">
      <c r="H1452" s="61"/>
      <c r="I1452" s="61"/>
    </row>
    <row r="1453" spans="8:9">
      <c r="H1453" s="61"/>
      <c r="I1453" s="61"/>
    </row>
    <row r="1454" spans="8:9">
      <c r="H1454" s="61"/>
      <c r="I1454" s="61"/>
    </row>
    <row r="1455" spans="8:9">
      <c r="H1455" s="61"/>
      <c r="I1455" s="61"/>
    </row>
    <row r="1456" spans="8:9">
      <c r="H1456" s="61"/>
      <c r="I1456" s="61"/>
    </row>
    <row r="1457" spans="8:9">
      <c r="H1457" s="61"/>
      <c r="I1457" s="61"/>
    </row>
    <row r="1458" spans="8:9">
      <c r="H1458" s="61"/>
      <c r="I1458" s="61"/>
    </row>
    <row r="1459" spans="8:9">
      <c r="H1459" s="61"/>
      <c r="I1459" s="61"/>
    </row>
    <row r="1460" spans="8:9">
      <c r="H1460" s="61"/>
      <c r="I1460" s="61"/>
    </row>
    <row r="1461" spans="8:9">
      <c r="H1461" s="61"/>
      <c r="I1461" s="61"/>
    </row>
    <row r="1462" spans="8:9">
      <c r="H1462" s="61"/>
      <c r="I1462" s="61"/>
    </row>
    <row r="1463" spans="8:9">
      <c r="H1463" s="61"/>
      <c r="I1463" s="61"/>
    </row>
    <row r="1464" spans="8:9">
      <c r="H1464" s="61"/>
      <c r="I1464" s="61"/>
    </row>
    <row r="1465" spans="8:9">
      <c r="H1465" s="61"/>
      <c r="I1465" s="61"/>
    </row>
    <row r="1466" spans="8:9">
      <c r="H1466" s="61"/>
      <c r="I1466" s="61"/>
    </row>
    <row r="1467" spans="8:9">
      <c r="H1467" s="61"/>
      <c r="I1467" s="61"/>
    </row>
    <row r="1468" spans="8:9">
      <c r="H1468" s="61"/>
      <c r="I1468" s="61"/>
    </row>
    <row r="1469" spans="8:9">
      <c r="H1469" s="61"/>
      <c r="I1469" s="61"/>
    </row>
    <row r="1470" spans="8:9">
      <c r="H1470" s="61"/>
      <c r="I1470" s="61"/>
    </row>
    <row r="1471" spans="8:9">
      <c r="H1471" s="61"/>
      <c r="I1471" s="61"/>
    </row>
    <row r="1472" spans="8:9">
      <c r="H1472" s="61"/>
      <c r="I1472" s="61"/>
    </row>
    <row r="1473" spans="8:9">
      <c r="H1473" s="61"/>
      <c r="I1473" s="61"/>
    </row>
    <row r="1474" spans="8:9">
      <c r="H1474" s="61"/>
      <c r="I1474" s="61"/>
    </row>
    <row r="1475" spans="8:9">
      <c r="H1475" s="61"/>
      <c r="I1475" s="61"/>
    </row>
    <row r="1476" spans="8:9">
      <c r="H1476" s="61"/>
      <c r="I1476" s="61"/>
    </row>
    <row r="1477" spans="8:9">
      <c r="H1477" s="61"/>
      <c r="I1477" s="61"/>
    </row>
    <row r="1478" spans="8:9">
      <c r="H1478" s="61"/>
      <c r="I1478" s="61"/>
    </row>
    <row r="1479" spans="8:9">
      <c r="H1479" s="61"/>
      <c r="I1479" s="61"/>
    </row>
    <row r="1480" spans="8:9">
      <c r="H1480" s="61"/>
      <c r="I1480" s="61"/>
    </row>
    <row r="1481" spans="8:9">
      <c r="H1481" s="61"/>
      <c r="I1481" s="61"/>
    </row>
    <row r="1482" spans="8:9">
      <c r="H1482" s="61"/>
      <c r="I1482" s="61"/>
    </row>
    <row r="1483" spans="8:9">
      <c r="H1483" s="61"/>
      <c r="I1483" s="61"/>
    </row>
    <row r="1484" spans="8:9">
      <c r="H1484" s="61"/>
      <c r="I1484" s="61"/>
    </row>
    <row r="1485" spans="8:9">
      <c r="H1485" s="61"/>
      <c r="I1485" s="61"/>
    </row>
    <row r="1486" spans="8:9">
      <c r="H1486" s="61"/>
      <c r="I1486" s="61"/>
    </row>
    <row r="1487" spans="8:9">
      <c r="H1487" s="61"/>
      <c r="I1487" s="61"/>
    </row>
    <row r="1488" spans="8:9">
      <c r="H1488" s="61"/>
      <c r="I1488" s="61"/>
    </row>
    <row r="1489" spans="8:9">
      <c r="H1489" s="61"/>
      <c r="I1489" s="61"/>
    </row>
    <row r="1490" spans="8:9">
      <c r="H1490" s="61"/>
      <c r="I1490" s="61"/>
    </row>
    <row r="1491" spans="8:9">
      <c r="H1491" s="61"/>
      <c r="I1491" s="61"/>
    </row>
    <row r="1492" spans="8:9">
      <c r="H1492" s="61"/>
      <c r="I1492" s="61"/>
    </row>
    <row r="1493" spans="8:9">
      <c r="H1493" s="61"/>
      <c r="I1493" s="61"/>
    </row>
    <row r="1494" spans="8:9">
      <c r="H1494" s="61"/>
      <c r="I1494" s="61"/>
    </row>
    <row r="1495" spans="8:9">
      <c r="H1495" s="61"/>
      <c r="I1495" s="61"/>
    </row>
    <row r="1496" spans="8:9">
      <c r="H1496" s="61"/>
      <c r="I1496" s="61"/>
    </row>
    <row r="1497" spans="8:9">
      <c r="H1497" s="61"/>
      <c r="I1497" s="61"/>
    </row>
    <row r="1498" spans="8:9">
      <c r="H1498" s="61"/>
      <c r="I1498" s="61"/>
    </row>
    <row r="1499" spans="8:9">
      <c r="H1499" s="61"/>
      <c r="I1499" s="61"/>
    </row>
    <row r="1500" spans="8:9">
      <c r="H1500" s="61"/>
      <c r="I1500" s="61"/>
    </row>
    <row r="1501" spans="8:9">
      <c r="H1501" s="61"/>
      <c r="I1501" s="61"/>
    </row>
    <row r="1502" spans="8:9">
      <c r="H1502" s="61"/>
      <c r="I1502" s="61"/>
    </row>
    <row r="1503" spans="8:9">
      <c r="H1503" s="61"/>
      <c r="I1503" s="61"/>
    </row>
    <row r="1504" spans="8:9">
      <c r="H1504" s="61"/>
      <c r="I1504" s="61"/>
    </row>
    <row r="1505" spans="8:9">
      <c r="H1505" s="61"/>
      <c r="I1505" s="61"/>
    </row>
    <row r="1506" spans="8:9">
      <c r="H1506" s="61"/>
      <c r="I1506" s="61"/>
    </row>
    <row r="1507" spans="8:9">
      <c r="H1507" s="61"/>
      <c r="I1507" s="61"/>
    </row>
    <row r="1508" spans="8:9">
      <c r="H1508" s="61"/>
      <c r="I1508" s="61"/>
    </row>
    <row r="1509" spans="8:9">
      <c r="H1509" s="61"/>
      <c r="I1509" s="61"/>
    </row>
    <row r="1510" spans="8:9">
      <c r="H1510" s="61"/>
      <c r="I1510" s="61"/>
    </row>
    <row r="1511" spans="8:9">
      <c r="H1511" s="61"/>
      <c r="I1511" s="61"/>
    </row>
    <row r="1512" spans="8:9">
      <c r="H1512" s="61"/>
      <c r="I1512" s="61"/>
    </row>
    <row r="1513" spans="8:9">
      <c r="H1513" s="61"/>
      <c r="I1513" s="61"/>
    </row>
    <row r="1514" spans="8:9">
      <c r="H1514" s="61"/>
      <c r="I1514" s="61"/>
    </row>
    <row r="1515" spans="8:9">
      <c r="H1515" s="61"/>
      <c r="I1515" s="61"/>
    </row>
    <row r="1516" spans="8:9">
      <c r="H1516" s="61"/>
      <c r="I1516" s="61"/>
    </row>
    <row r="1517" spans="8:9">
      <c r="H1517" s="61"/>
      <c r="I1517" s="61"/>
    </row>
    <row r="1518" spans="8:9">
      <c r="H1518" s="61"/>
      <c r="I1518" s="61"/>
    </row>
    <row r="1519" spans="8:9">
      <c r="H1519" s="61"/>
      <c r="I1519" s="61"/>
    </row>
    <row r="1520" spans="8:9">
      <c r="H1520" s="61"/>
      <c r="I1520" s="61"/>
    </row>
    <row r="1521" spans="8:9">
      <c r="H1521" s="61"/>
      <c r="I1521" s="61"/>
    </row>
    <row r="1522" spans="8:9">
      <c r="H1522" s="61"/>
      <c r="I1522" s="61"/>
    </row>
    <row r="1523" spans="8:9">
      <c r="H1523" s="61"/>
      <c r="I1523" s="61"/>
    </row>
    <row r="1524" spans="8:9">
      <c r="H1524" s="61"/>
      <c r="I1524" s="61"/>
    </row>
    <row r="1525" spans="8:9">
      <c r="H1525" s="61"/>
      <c r="I1525" s="61"/>
    </row>
    <row r="1526" spans="8:9">
      <c r="H1526" s="61"/>
      <c r="I1526" s="61"/>
    </row>
    <row r="1527" spans="8:9">
      <c r="H1527" s="61"/>
      <c r="I1527" s="61"/>
    </row>
    <row r="1528" spans="8:9">
      <c r="H1528" s="61"/>
      <c r="I1528" s="61"/>
    </row>
    <row r="1529" spans="8:9">
      <c r="H1529" s="61"/>
      <c r="I1529" s="61"/>
    </row>
    <row r="1530" spans="8:9">
      <c r="H1530" s="61"/>
      <c r="I1530" s="61"/>
    </row>
    <row r="1531" spans="8:9">
      <c r="H1531" s="61"/>
      <c r="I1531" s="61"/>
    </row>
    <row r="1532" spans="8:9">
      <c r="H1532" s="61"/>
      <c r="I1532" s="61"/>
    </row>
    <row r="1533" spans="8:9">
      <c r="H1533" s="61"/>
      <c r="I1533" s="61"/>
    </row>
    <row r="1534" spans="8:9">
      <c r="H1534" s="61"/>
      <c r="I1534" s="61"/>
    </row>
    <row r="1535" spans="8:9">
      <c r="H1535" s="61"/>
      <c r="I1535" s="61"/>
    </row>
    <row r="1536" spans="8:9">
      <c r="H1536" s="61"/>
      <c r="I1536" s="61"/>
    </row>
    <row r="1537" spans="8:9">
      <c r="H1537" s="61"/>
      <c r="I1537" s="61"/>
    </row>
    <row r="1538" spans="8:9">
      <c r="H1538" s="61"/>
      <c r="I1538" s="61"/>
    </row>
    <row r="1539" spans="8:9">
      <c r="H1539" s="61"/>
      <c r="I1539" s="61"/>
    </row>
    <row r="1540" spans="8:9">
      <c r="H1540" s="61"/>
      <c r="I1540" s="61"/>
    </row>
    <row r="1541" spans="8:9">
      <c r="H1541" s="61"/>
      <c r="I1541" s="61"/>
    </row>
    <row r="1542" spans="8:9">
      <c r="H1542" s="61"/>
      <c r="I1542" s="61"/>
    </row>
    <row r="1543" spans="8:9">
      <c r="H1543" s="61"/>
      <c r="I1543" s="61"/>
    </row>
    <row r="1544" spans="8:9">
      <c r="H1544" s="61"/>
      <c r="I1544" s="61"/>
    </row>
    <row r="1545" spans="8:9">
      <c r="H1545" s="61"/>
      <c r="I1545" s="61"/>
    </row>
    <row r="1546" spans="8:9">
      <c r="H1546" s="61"/>
      <c r="I1546" s="61"/>
    </row>
    <row r="1547" spans="8:9">
      <c r="H1547" s="61"/>
      <c r="I1547" s="61"/>
    </row>
    <row r="1548" spans="8:9">
      <c r="H1548" s="61"/>
      <c r="I1548" s="61"/>
    </row>
    <row r="1549" spans="8:9">
      <c r="H1549" s="61"/>
      <c r="I1549" s="61"/>
    </row>
    <row r="1550" spans="8:9">
      <c r="H1550" s="61"/>
      <c r="I1550" s="61"/>
    </row>
    <row r="1551" spans="8:9">
      <c r="H1551" s="61"/>
      <c r="I1551" s="61"/>
    </row>
    <row r="1552" spans="8:9">
      <c r="H1552" s="61"/>
      <c r="I1552" s="61"/>
    </row>
    <row r="1553" spans="8:9">
      <c r="H1553" s="61"/>
      <c r="I1553" s="61"/>
    </row>
    <row r="1554" spans="8:9">
      <c r="H1554" s="61"/>
      <c r="I1554" s="61"/>
    </row>
    <row r="1555" spans="8:9">
      <c r="H1555" s="61"/>
      <c r="I1555" s="61"/>
    </row>
    <row r="1556" spans="8:9">
      <c r="H1556" s="61"/>
      <c r="I1556" s="61"/>
    </row>
    <row r="1557" spans="8:9">
      <c r="H1557" s="61"/>
      <c r="I1557" s="61"/>
    </row>
    <row r="1558" spans="8:9">
      <c r="H1558" s="61"/>
      <c r="I1558" s="61"/>
    </row>
    <row r="1559" spans="8:9">
      <c r="H1559" s="61"/>
      <c r="I1559" s="61"/>
    </row>
    <row r="1560" spans="8:9">
      <c r="H1560" s="61"/>
      <c r="I1560" s="61"/>
    </row>
    <row r="1561" spans="8:9">
      <c r="H1561" s="61"/>
      <c r="I1561" s="61"/>
    </row>
    <row r="1562" spans="8:9">
      <c r="H1562" s="61"/>
      <c r="I1562" s="61"/>
    </row>
    <row r="1563" spans="8:9">
      <c r="H1563" s="61"/>
      <c r="I1563" s="61"/>
    </row>
    <row r="1564" spans="8:9">
      <c r="H1564" s="61"/>
      <c r="I1564" s="61"/>
    </row>
    <row r="1565" spans="8:9">
      <c r="H1565" s="61"/>
      <c r="I1565" s="61"/>
    </row>
    <row r="1566" spans="8:9">
      <c r="H1566" s="61"/>
      <c r="I1566" s="61"/>
    </row>
    <row r="1567" spans="8:9">
      <c r="H1567" s="61"/>
      <c r="I1567" s="61"/>
    </row>
    <row r="1568" spans="8:9">
      <c r="H1568" s="61"/>
      <c r="I1568" s="61"/>
    </row>
    <row r="1569" spans="8:9">
      <c r="H1569" s="61"/>
      <c r="I1569" s="61"/>
    </row>
    <row r="1570" spans="8:9">
      <c r="H1570" s="61"/>
      <c r="I1570" s="61"/>
    </row>
    <row r="1571" spans="8:9">
      <c r="H1571" s="61"/>
      <c r="I1571" s="61"/>
    </row>
    <row r="1572" spans="8:9">
      <c r="H1572" s="61"/>
      <c r="I1572" s="61"/>
    </row>
    <row r="1573" spans="8:9">
      <c r="H1573" s="61"/>
      <c r="I1573" s="61"/>
    </row>
    <row r="1574" spans="8:9">
      <c r="H1574" s="61"/>
      <c r="I1574" s="61"/>
    </row>
    <row r="1575" spans="8:9">
      <c r="H1575" s="61"/>
      <c r="I1575" s="61"/>
    </row>
    <row r="1576" spans="8:9">
      <c r="H1576" s="61"/>
      <c r="I1576" s="61"/>
    </row>
    <row r="1577" spans="8:9">
      <c r="H1577" s="61"/>
      <c r="I1577" s="61"/>
    </row>
    <row r="1578" spans="8:9">
      <c r="H1578" s="61"/>
      <c r="I1578" s="61"/>
    </row>
    <row r="1579" spans="8:9">
      <c r="H1579" s="61"/>
      <c r="I1579" s="61"/>
    </row>
    <row r="1580" spans="8:9">
      <c r="H1580" s="61"/>
      <c r="I1580" s="61"/>
    </row>
    <row r="1581" spans="8:9">
      <c r="H1581" s="61"/>
      <c r="I1581" s="61"/>
    </row>
    <row r="1582" spans="8:9">
      <c r="H1582" s="61"/>
      <c r="I1582" s="61"/>
    </row>
    <row r="1583" spans="8:9">
      <c r="H1583" s="61"/>
      <c r="I1583" s="61"/>
    </row>
    <row r="1584" spans="8:9">
      <c r="H1584" s="61"/>
      <c r="I1584" s="61"/>
    </row>
    <row r="1585" spans="8:9">
      <c r="H1585" s="61"/>
      <c r="I1585" s="61"/>
    </row>
    <row r="1586" spans="8:9">
      <c r="H1586" s="61"/>
      <c r="I1586" s="61"/>
    </row>
    <row r="1587" spans="8:9">
      <c r="H1587" s="61"/>
      <c r="I1587" s="61"/>
    </row>
    <row r="1588" spans="8:9">
      <c r="H1588" s="61"/>
      <c r="I1588" s="61"/>
    </row>
    <row r="1589" spans="8:9">
      <c r="H1589" s="61"/>
      <c r="I1589" s="61"/>
    </row>
    <row r="1590" spans="8:9">
      <c r="H1590" s="61"/>
      <c r="I1590" s="61"/>
    </row>
    <row r="1591" spans="8:9">
      <c r="H1591" s="61"/>
      <c r="I1591" s="61"/>
    </row>
    <row r="1592" spans="8:9">
      <c r="H1592" s="61"/>
      <c r="I1592" s="61"/>
    </row>
    <row r="1593" spans="8:9">
      <c r="H1593" s="61"/>
      <c r="I1593" s="61"/>
    </row>
    <row r="1594" spans="8:9">
      <c r="H1594" s="61"/>
      <c r="I1594" s="61"/>
    </row>
    <row r="1595" spans="8:9">
      <c r="H1595" s="61"/>
      <c r="I1595" s="61"/>
    </row>
    <row r="1596" spans="8:9">
      <c r="H1596" s="61"/>
      <c r="I1596" s="61"/>
    </row>
    <row r="1597" spans="8:9">
      <c r="H1597" s="61"/>
      <c r="I1597" s="61"/>
    </row>
    <row r="1598" spans="8:9">
      <c r="H1598" s="61"/>
      <c r="I1598" s="61"/>
    </row>
    <row r="1599" spans="8:9">
      <c r="H1599" s="61"/>
      <c r="I1599" s="61"/>
    </row>
    <row r="1600" spans="8:9">
      <c r="H1600" s="61"/>
      <c r="I1600" s="61"/>
    </row>
    <row r="1601" spans="8:9">
      <c r="H1601" s="61"/>
      <c r="I1601" s="61"/>
    </row>
    <row r="1602" spans="8:9">
      <c r="H1602" s="61"/>
      <c r="I1602" s="61"/>
    </row>
    <row r="1603" spans="8:9">
      <c r="H1603" s="61"/>
      <c r="I1603" s="61"/>
    </row>
    <row r="1604" spans="8:9">
      <c r="H1604" s="61"/>
      <c r="I1604" s="61"/>
    </row>
    <row r="1605" spans="8:9">
      <c r="H1605" s="61"/>
      <c r="I1605" s="61"/>
    </row>
    <row r="1606" spans="8:9">
      <c r="H1606" s="61"/>
      <c r="I1606" s="61"/>
    </row>
    <row r="1607" spans="8:9">
      <c r="H1607" s="61"/>
      <c r="I1607" s="61"/>
    </row>
    <row r="1608" spans="8:9">
      <c r="H1608" s="61"/>
      <c r="I1608" s="61"/>
    </row>
    <row r="1609" spans="8:9">
      <c r="H1609" s="61"/>
      <c r="I1609" s="61"/>
    </row>
    <row r="1610" spans="8:9">
      <c r="H1610" s="61"/>
      <c r="I1610" s="61"/>
    </row>
    <row r="1611" spans="8:9">
      <c r="H1611" s="61"/>
      <c r="I1611" s="61"/>
    </row>
    <row r="1612" spans="8:9">
      <c r="H1612" s="61"/>
      <c r="I1612" s="61"/>
    </row>
    <row r="1613" spans="8:9">
      <c r="H1613" s="61"/>
      <c r="I1613" s="61"/>
    </row>
    <row r="1614" spans="8:9">
      <c r="H1614" s="61"/>
      <c r="I1614" s="61"/>
    </row>
    <row r="1615" spans="8:9">
      <c r="H1615" s="61"/>
      <c r="I1615" s="61"/>
    </row>
    <row r="1616" spans="8:9">
      <c r="H1616" s="61"/>
      <c r="I1616" s="61"/>
    </row>
    <row r="1617" spans="8:9">
      <c r="H1617" s="61"/>
      <c r="I1617" s="61"/>
    </row>
    <row r="1618" spans="8:9">
      <c r="H1618" s="61"/>
      <c r="I1618" s="61"/>
    </row>
    <row r="1619" spans="8:9">
      <c r="H1619" s="61"/>
      <c r="I1619" s="61"/>
    </row>
    <row r="1620" spans="8:9">
      <c r="H1620" s="61"/>
      <c r="I1620" s="61"/>
    </row>
    <row r="1621" spans="8:9">
      <c r="H1621" s="61"/>
      <c r="I1621" s="61"/>
    </row>
    <row r="1622" spans="8:9">
      <c r="H1622" s="61"/>
      <c r="I1622" s="61"/>
    </row>
    <row r="1623" spans="8:9">
      <c r="H1623" s="61"/>
      <c r="I1623" s="61"/>
    </row>
    <row r="1624" spans="8:9">
      <c r="H1624" s="61"/>
      <c r="I1624" s="61"/>
    </row>
    <row r="1625" spans="8:9">
      <c r="H1625" s="61"/>
      <c r="I1625" s="61"/>
    </row>
    <row r="1626" spans="8:9">
      <c r="H1626" s="61"/>
      <c r="I1626" s="61"/>
    </row>
    <row r="1627" spans="8:9">
      <c r="H1627" s="61"/>
      <c r="I1627" s="61"/>
    </row>
    <row r="1628" spans="8:9">
      <c r="H1628" s="61"/>
      <c r="I1628" s="61"/>
    </row>
    <row r="1629" spans="8:9">
      <c r="H1629" s="61"/>
      <c r="I1629" s="61"/>
    </row>
    <row r="1630" spans="8:9">
      <c r="H1630" s="61"/>
      <c r="I1630" s="61"/>
    </row>
    <row r="1631" spans="8:9">
      <c r="H1631" s="61"/>
      <c r="I1631" s="61"/>
    </row>
    <row r="1632" spans="8:9">
      <c r="H1632" s="61"/>
      <c r="I1632" s="61"/>
    </row>
    <row r="1633" spans="8:9">
      <c r="H1633" s="61"/>
      <c r="I1633" s="61"/>
    </row>
    <row r="1634" spans="8:9">
      <c r="H1634" s="61"/>
      <c r="I1634" s="61"/>
    </row>
    <row r="1635" spans="8:9">
      <c r="H1635" s="61"/>
      <c r="I1635" s="61"/>
    </row>
    <row r="1636" spans="8:9">
      <c r="H1636" s="61"/>
      <c r="I1636" s="61"/>
    </row>
    <row r="1637" spans="8:9">
      <c r="H1637" s="61"/>
      <c r="I1637" s="61"/>
    </row>
    <row r="1638" spans="8:9">
      <c r="H1638" s="61"/>
      <c r="I1638" s="61"/>
    </row>
    <row r="1639" spans="8:9">
      <c r="H1639" s="61"/>
      <c r="I1639" s="61"/>
    </row>
    <row r="1640" spans="8:9">
      <c r="H1640" s="61"/>
      <c r="I1640" s="61"/>
    </row>
    <row r="1641" spans="8:9">
      <c r="H1641" s="61"/>
      <c r="I1641" s="61"/>
    </row>
    <row r="1642" spans="8:9">
      <c r="H1642" s="61"/>
      <c r="I1642" s="61"/>
    </row>
    <row r="1643" spans="8:9">
      <c r="H1643" s="61"/>
      <c r="I1643" s="61"/>
    </row>
    <row r="1644" spans="8:9">
      <c r="H1644" s="61"/>
      <c r="I1644" s="61"/>
    </row>
    <row r="1645" spans="8:9">
      <c r="H1645" s="61"/>
      <c r="I1645" s="61"/>
    </row>
    <row r="1646" spans="8:9">
      <c r="H1646" s="61"/>
      <c r="I1646" s="61"/>
    </row>
    <row r="1647" spans="8:9">
      <c r="H1647" s="61"/>
      <c r="I1647" s="61"/>
    </row>
    <row r="1648" spans="8:9">
      <c r="H1648" s="61"/>
      <c r="I1648" s="61"/>
    </row>
    <row r="1649" spans="8:9">
      <c r="H1649" s="61"/>
      <c r="I1649" s="61"/>
    </row>
    <row r="1650" spans="8:9">
      <c r="H1650" s="61"/>
      <c r="I1650" s="61"/>
    </row>
    <row r="1651" spans="8:9">
      <c r="H1651" s="61"/>
      <c r="I1651" s="61"/>
    </row>
    <row r="1652" spans="8:9">
      <c r="H1652" s="61"/>
      <c r="I1652" s="61"/>
    </row>
    <row r="1653" spans="8:9">
      <c r="H1653" s="61"/>
      <c r="I1653" s="61"/>
    </row>
    <row r="1654" spans="8:9">
      <c r="H1654" s="61"/>
      <c r="I1654" s="61"/>
    </row>
    <row r="1655" spans="8:9">
      <c r="H1655" s="61"/>
      <c r="I1655" s="61"/>
    </row>
    <row r="1656" spans="8:9">
      <c r="H1656" s="61"/>
      <c r="I1656" s="61"/>
    </row>
    <row r="1657" spans="8:9">
      <c r="H1657" s="61"/>
      <c r="I1657" s="61"/>
    </row>
    <row r="1658" spans="8:9">
      <c r="H1658" s="61"/>
      <c r="I1658" s="61"/>
    </row>
    <row r="1659" spans="8:9">
      <c r="H1659" s="61"/>
      <c r="I1659" s="61"/>
    </row>
    <row r="1660" spans="8:9">
      <c r="H1660" s="61"/>
      <c r="I1660" s="61"/>
    </row>
    <row r="1661" spans="8:9">
      <c r="H1661" s="61"/>
      <c r="I1661" s="61"/>
    </row>
    <row r="1662" spans="8:9">
      <c r="H1662" s="61"/>
      <c r="I1662" s="61"/>
    </row>
    <row r="1663" spans="8:9">
      <c r="H1663" s="61"/>
      <c r="I1663" s="61"/>
    </row>
    <row r="1664" spans="8:9">
      <c r="H1664" s="61"/>
      <c r="I1664" s="61"/>
    </row>
    <row r="1665" spans="8:9">
      <c r="H1665" s="61"/>
      <c r="I1665" s="61"/>
    </row>
    <row r="1666" spans="8:9">
      <c r="H1666" s="61"/>
      <c r="I1666" s="61"/>
    </row>
    <row r="1667" spans="8:9">
      <c r="H1667" s="61"/>
      <c r="I1667" s="61"/>
    </row>
    <row r="1668" spans="8:9">
      <c r="H1668" s="61"/>
      <c r="I1668" s="61"/>
    </row>
    <row r="1669" spans="8:9">
      <c r="H1669" s="61"/>
      <c r="I1669" s="61"/>
    </row>
    <row r="1670" spans="8:9">
      <c r="H1670" s="61"/>
      <c r="I1670" s="61"/>
    </row>
    <row r="1671" spans="8:9">
      <c r="H1671" s="61"/>
      <c r="I1671" s="61"/>
    </row>
    <row r="1672" spans="8:9">
      <c r="H1672" s="61"/>
      <c r="I1672" s="61"/>
    </row>
    <row r="1673" spans="8:9">
      <c r="H1673" s="61"/>
      <c r="I1673" s="61"/>
    </row>
    <row r="1674" spans="8:9">
      <c r="H1674" s="61"/>
      <c r="I1674" s="61"/>
    </row>
    <row r="1675" spans="8:9">
      <c r="H1675" s="61"/>
      <c r="I1675" s="61"/>
    </row>
    <row r="1676" spans="8:9">
      <c r="H1676" s="61"/>
      <c r="I1676" s="61"/>
    </row>
    <row r="1677" spans="8:9">
      <c r="H1677" s="61"/>
      <c r="I1677" s="61"/>
    </row>
    <row r="1678" spans="8:9">
      <c r="H1678" s="61"/>
      <c r="I1678" s="61"/>
    </row>
    <row r="1679" spans="8:9">
      <c r="H1679" s="61"/>
      <c r="I1679" s="61"/>
    </row>
    <row r="1680" spans="8:9">
      <c r="H1680" s="61"/>
      <c r="I1680" s="61"/>
    </row>
    <row r="1681" spans="8:9">
      <c r="H1681" s="61"/>
      <c r="I1681" s="61"/>
    </row>
    <row r="1682" spans="8:9">
      <c r="H1682" s="61"/>
      <c r="I1682" s="61"/>
    </row>
    <row r="1683" spans="8:9">
      <c r="H1683" s="61"/>
      <c r="I1683" s="61"/>
    </row>
    <row r="1684" spans="8:9">
      <c r="H1684" s="61"/>
      <c r="I1684" s="61"/>
    </row>
    <row r="1685" spans="8:9">
      <c r="H1685" s="61"/>
      <c r="I1685" s="61"/>
    </row>
    <row r="1686" spans="8:9">
      <c r="H1686" s="61"/>
      <c r="I1686" s="61"/>
    </row>
    <row r="1687" spans="8:9">
      <c r="H1687" s="61"/>
      <c r="I1687" s="61"/>
    </row>
    <row r="1688" spans="8:9">
      <c r="H1688" s="61"/>
      <c r="I1688" s="61"/>
    </row>
    <row r="1689" spans="8:9">
      <c r="H1689" s="61"/>
      <c r="I1689" s="61"/>
    </row>
    <row r="1690" spans="8:9">
      <c r="H1690" s="61"/>
      <c r="I1690" s="61"/>
    </row>
    <row r="1691" spans="8:9">
      <c r="H1691" s="61"/>
      <c r="I1691" s="61"/>
    </row>
    <row r="1692" spans="8:9">
      <c r="H1692" s="61"/>
      <c r="I1692" s="61"/>
    </row>
    <row r="1693" spans="8:9">
      <c r="H1693" s="61"/>
      <c r="I1693" s="61"/>
    </row>
    <row r="1694" spans="8:9">
      <c r="H1694" s="61"/>
      <c r="I1694" s="61"/>
    </row>
    <row r="1695" spans="8:9">
      <c r="H1695" s="61"/>
      <c r="I1695" s="61"/>
    </row>
    <row r="1696" spans="8:9">
      <c r="H1696" s="61"/>
      <c r="I1696" s="61"/>
    </row>
    <row r="1697" spans="8:9">
      <c r="H1697" s="61"/>
      <c r="I1697" s="61"/>
    </row>
    <row r="1698" spans="8:9">
      <c r="H1698" s="61"/>
      <c r="I1698" s="61"/>
    </row>
    <row r="1699" spans="8:9">
      <c r="H1699" s="61"/>
      <c r="I1699" s="61"/>
    </row>
    <row r="1700" spans="8:9">
      <c r="H1700" s="61"/>
      <c r="I1700" s="61"/>
    </row>
    <row r="1701" spans="8:9">
      <c r="H1701" s="61"/>
      <c r="I1701" s="61"/>
    </row>
    <row r="1702" spans="8:9">
      <c r="H1702" s="61"/>
      <c r="I1702" s="61"/>
    </row>
    <row r="1703" spans="8:9">
      <c r="H1703" s="61"/>
      <c r="I1703" s="61"/>
    </row>
    <row r="1704" spans="8:9">
      <c r="H1704" s="61"/>
      <c r="I1704" s="61"/>
    </row>
    <row r="1705" spans="8:9">
      <c r="H1705" s="61"/>
      <c r="I1705" s="61"/>
    </row>
    <row r="1706" spans="8:9">
      <c r="H1706" s="61"/>
      <c r="I1706" s="61"/>
    </row>
    <row r="1707" spans="8:9">
      <c r="H1707" s="61"/>
      <c r="I1707" s="61"/>
    </row>
    <row r="1708" spans="8:9">
      <c r="H1708" s="61"/>
      <c r="I1708" s="61"/>
    </row>
    <row r="1709" spans="8:9">
      <c r="H1709" s="61"/>
      <c r="I1709" s="61"/>
    </row>
    <row r="1710" spans="8:9">
      <c r="H1710" s="61"/>
      <c r="I1710" s="61"/>
    </row>
    <row r="1711" spans="8:9">
      <c r="H1711" s="61"/>
      <c r="I1711" s="61"/>
    </row>
    <row r="1712" spans="8:9">
      <c r="H1712" s="61"/>
      <c r="I1712" s="61"/>
    </row>
    <row r="1713" spans="8:9">
      <c r="H1713" s="61"/>
      <c r="I1713" s="61"/>
    </row>
    <row r="1714" spans="8:9">
      <c r="H1714" s="61"/>
      <c r="I1714" s="61"/>
    </row>
    <row r="1715" spans="8:9">
      <c r="H1715" s="61"/>
      <c r="I1715" s="61"/>
    </row>
    <row r="1716" spans="8:9">
      <c r="H1716" s="61"/>
      <c r="I1716" s="61"/>
    </row>
    <row r="1717" spans="8:9">
      <c r="H1717" s="61"/>
      <c r="I1717" s="61"/>
    </row>
    <row r="1718" spans="8:9">
      <c r="H1718" s="61"/>
      <c r="I1718" s="61"/>
    </row>
    <row r="1719" spans="8:9">
      <c r="H1719" s="61"/>
      <c r="I1719" s="61"/>
    </row>
    <row r="1720" spans="8:9">
      <c r="H1720" s="61"/>
      <c r="I1720" s="61"/>
    </row>
    <row r="1721" spans="8:9">
      <c r="H1721" s="61"/>
      <c r="I1721" s="61"/>
    </row>
    <row r="1722" spans="8:9">
      <c r="H1722" s="61"/>
      <c r="I1722" s="61"/>
    </row>
    <row r="1723" spans="8:9">
      <c r="H1723" s="61"/>
      <c r="I1723" s="61"/>
    </row>
    <row r="1724" spans="8:9">
      <c r="H1724" s="61"/>
      <c r="I1724" s="61"/>
    </row>
    <row r="1725" spans="8:9">
      <c r="H1725" s="61"/>
      <c r="I1725" s="61"/>
    </row>
    <row r="1726" spans="8:9">
      <c r="H1726" s="61"/>
      <c r="I1726" s="61"/>
    </row>
    <row r="1727" spans="8:9">
      <c r="H1727" s="61"/>
      <c r="I1727" s="61"/>
    </row>
    <row r="1728" spans="8:9">
      <c r="H1728" s="61"/>
      <c r="I1728" s="61"/>
    </row>
    <row r="1729" spans="8:9">
      <c r="H1729" s="61"/>
      <c r="I1729" s="61"/>
    </row>
    <row r="1730" spans="8:9">
      <c r="H1730" s="61"/>
      <c r="I1730" s="61"/>
    </row>
    <row r="1731" spans="8:9">
      <c r="H1731" s="61"/>
      <c r="I1731" s="61"/>
    </row>
    <row r="1732" spans="8:9">
      <c r="H1732" s="61"/>
      <c r="I1732" s="61"/>
    </row>
    <row r="1733" spans="8:9">
      <c r="H1733" s="61"/>
      <c r="I1733" s="61"/>
    </row>
    <row r="1734" spans="8:9">
      <c r="H1734" s="61"/>
      <c r="I1734" s="61"/>
    </row>
    <row r="1735" spans="8:9">
      <c r="H1735" s="61"/>
      <c r="I1735" s="61"/>
    </row>
    <row r="1736" spans="8:9">
      <c r="H1736" s="61"/>
      <c r="I1736" s="61"/>
    </row>
    <row r="1737" spans="8:9">
      <c r="H1737" s="61"/>
      <c r="I1737" s="61"/>
    </row>
    <row r="1738" spans="8:9">
      <c r="H1738" s="61"/>
      <c r="I1738" s="61"/>
    </row>
    <row r="1739" spans="8:9">
      <c r="H1739" s="61"/>
      <c r="I1739" s="61"/>
    </row>
    <row r="1740" spans="8:9">
      <c r="H1740" s="61"/>
      <c r="I1740" s="61"/>
    </row>
    <row r="1741" spans="8:9">
      <c r="H1741" s="61"/>
      <c r="I1741" s="61"/>
    </row>
    <row r="1742" spans="8:9">
      <c r="H1742" s="61"/>
      <c r="I1742" s="61"/>
    </row>
    <row r="1743" spans="8:9">
      <c r="H1743" s="61"/>
      <c r="I1743" s="61"/>
    </row>
    <row r="1744" spans="8:9">
      <c r="H1744" s="61"/>
      <c r="I1744" s="61"/>
    </row>
    <row r="1745" spans="8:9">
      <c r="H1745" s="61"/>
      <c r="I1745" s="61"/>
    </row>
    <row r="1746" spans="8:9">
      <c r="H1746" s="61"/>
      <c r="I1746" s="61"/>
    </row>
    <row r="1747" spans="8:9">
      <c r="H1747" s="61"/>
      <c r="I1747" s="61"/>
    </row>
    <row r="1748" spans="8:9">
      <c r="H1748" s="61"/>
      <c r="I1748" s="61"/>
    </row>
    <row r="1749" spans="8:9">
      <c r="H1749" s="61"/>
      <c r="I1749" s="61"/>
    </row>
    <row r="1750" spans="8:9">
      <c r="H1750" s="61"/>
      <c r="I1750" s="61"/>
    </row>
    <row r="1751" spans="8:9">
      <c r="H1751" s="61"/>
      <c r="I1751" s="61"/>
    </row>
    <row r="1752" spans="8:9">
      <c r="H1752" s="61"/>
      <c r="I1752" s="61"/>
    </row>
    <row r="1753" spans="8:9">
      <c r="H1753" s="61"/>
      <c r="I1753" s="61"/>
    </row>
    <row r="1754" spans="8:9">
      <c r="H1754" s="61"/>
      <c r="I1754" s="61"/>
    </row>
    <row r="1755" spans="8:9">
      <c r="H1755" s="61"/>
      <c r="I1755" s="61"/>
    </row>
    <row r="1756" spans="8:9">
      <c r="H1756" s="61"/>
      <c r="I1756" s="61"/>
    </row>
    <row r="1757" spans="8:9">
      <c r="H1757" s="61"/>
      <c r="I1757" s="61"/>
    </row>
    <row r="1758" spans="8:9">
      <c r="H1758" s="61"/>
      <c r="I1758" s="61"/>
    </row>
    <row r="1759" spans="8:9">
      <c r="H1759" s="61"/>
      <c r="I1759" s="61"/>
    </row>
    <row r="1760" spans="8:9">
      <c r="H1760" s="61"/>
      <c r="I1760" s="61"/>
    </row>
    <row r="1761" spans="8:9">
      <c r="H1761" s="61"/>
      <c r="I1761" s="61"/>
    </row>
    <row r="1762" spans="8:9">
      <c r="H1762" s="61"/>
      <c r="I1762" s="61"/>
    </row>
    <row r="1763" spans="8:9">
      <c r="H1763" s="61"/>
      <c r="I1763" s="61"/>
    </row>
    <row r="1764" spans="8:9">
      <c r="H1764" s="61"/>
      <c r="I1764" s="61"/>
    </row>
    <row r="1765" spans="8:9">
      <c r="H1765" s="61"/>
      <c r="I1765" s="61"/>
    </row>
    <row r="1766" spans="8:9">
      <c r="H1766" s="61"/>
      <c r="I1766" s="61"/>
    </row>
    <row r="1767" spans="8:9">
      <c r="H1767" s="61"/>
      <c r="I1767" s="61"/>
    </row>
    <row r="1768" spans="8:9">
      <c r="H1768" s="61"/>
      <c r="I1768" s="61"/>
    </row>
    <row r="1769" spans="8:9">
      <c r="H1769" s="61"/>
      <c r="I1769" s="61"/>
    </row>
    <row r="1770" spans="8:9">
      <c r="H1770" s="61"/>
      <c r="I1770" s="61"/>
    </row>
    <row r="1771" spans="8:9">
      <c r="H1771" s="61"/>
      <c r="I1771" s="61"/>
    </row>
    <row r="1772" spans="8:9">
      <c r="H1772" s="61"/>
      <c r="I1772" s="61"/>
    </row>
    <row r="1773" spans="8:9">
      <c r="H1773" s="61"/>
      <c r="I1773" s="61"/>
    </row>
    <row r="1774" spans="8:9">
      <c r="H1774" s="61"/>
      <c r="I1774" s="61"/>
    </row>
    <row r="1775" spans="8:9">
      <c r="H1775" s="61"/>
      <c r="I1775" s="61"/>
    </row>
    <row r="1776" spans="8:9">
      <c r="H1776" s="61"/>
      <c r="I1776" s="61"/>
    </row>
    <row r="1777" spans="8:9">
      <c r="H1777" s="61"/>
      <c r="I1777" s="61"/>
    </row>
    <row r="1778" spans="8:9">
      <c r="H1778" s="61"/>
      <c r="I1778" s="61"/>
    </row>
    <row r="1779" spans="8:9">
      <c r="H1779" s="61"/>
      <c r="I1779" s="61"/>
    </row>
    <row r="1780" spans="8:9">
      <c r="H1780" s="61"/>
      <c r="I1780" s="61"/>
    </row>
    <row r="1781" spans="8:9">
      <c r="H1781" s="61"/>
      <c r="I1781" s="61"/>
    </row>
    <row r="1782" spans="8:9">
      <c r="H1782" s="61"/>
      <c r="I1782" s="61"/>
    </row>
    <row r="1783" spans="8:9">
      <c r="H1783" s="61"/>
      <c r="I1783" s="61"/>
    </row>
    <row r="1784" spans="8:9">
      <c r="H1784" s="61"/>
      <c r="I1784" s="61"/>
    </row>
    <row r="1785" spans="8:9">
      <c r="H1785" s="61"/>
      <c r="I1785" s="61"/>
    </row>
    <row r="1786" spans="8:9">
      <c r="H1786" s="61"/>
      <c r="I1786" s="61"/>
    </row>
    <row r="1787" spans="8:9">
      <c r="H1787" s="61"/>
      <c r="I1787" s="61"/>
    </row>
    <row r="1788" spans="8:9">
      <c r="H1788" s="61"/>
      <c r="I1788" s="61"/>
    </row>
    <row r="1789" spans="8:9">
      <c r="H1789" s="61"/>
      <c r="I1789" s="61"/>
    </row>
    <row r="1790" spans="8:9">
      <c r="H1790" s="61"/>
      <c r="I1790" s="61"/>
    </row>
    <row r="1791" spans="8:9">
      <c r="H1791" s="61"/>
      <c r="I1791" s="61"/>
    </row>
    <row r="1792" spans="8:9">
      <c r="H1792" s="61"/>
      <c r="I1792" s="61"/>
    </row>
    <row r="1793" spans="8:9">
      <c r="H1793" s="61"/>
      <c r="I1793" s="61"/>
    </row>
    <row r="1794" spans="8:9">
      <c r="H1794" s="61"/>
      <c r="I1794" s="61"/>
    </row>
    <row r="1795" spans="8:9">
      <c r="H1795" s="61"/>
      <c r="I1795" s="61"/>
    </row>
    <row r="1796" spans="8:9">
      <c r="H1796" s="61"/>
      <c r="I1796" s="61"/>
    </row>
    <row r="1797" spans="8:9">
      <c r="H1797" s="61"/>
      <c r="I1797" s="61"/>
    </row>
    <row r="1798" spans="8:9">
      <c r="H1798" s="61"/>
      <c r="I1798" s="61"/>
    </row>
    <row r="1799" spans="8:9">
      <c r="H1799" s="61"/>
      <c r="I1799" s="61"/>
    </row>
    <row r="1800" spans="8:9">
      <c r="H1800" s="61"/>
      <c r="I1800" s="61"/>
    </row>
    <row r="1801" spans="8:9">
      <c r="H1801" s="61"/>
      <c r="I1801" s="61"/>
    </row>
    <row r="1802" spans="8:9">
      <c r="H1802" s="61"/>
      <c r="I1802" s="61"/>
    </row>
    <row r="1803" spans="8:9">
      <c r="H1803" s="61"/>
      <c r="I1803" s="61"/>
    </row>
    <row r="1804" spans="8:9">
      <c r="H1804" s="61"/>
      <c r="I1804" s="61"/>
    </row>
    <row r="1805" spans="8:9">
      <c r="H1805" s="61"/>
      <c r="I1805" s="61"/>
    </row>
    <row r="1806" spans="8:9">
      <c r="H1806" s="61"/>
      <c r="I1806" s="61"/>
    </row>
    <row r="1807" spans="8:9">
      <c r="H1807" s="61"/>
      <c r="I1807" s="61"/>
    </row>
    <row r="1808" spans="8:9">
      <c r="H1808" s="61"/>
      <c r="I1808" s="61"/>
    </row>
    <row r="1809" spans="8:9">
      <c r="H1809" s="61"/>
      <c r="I1809" s="61"/>
    </row>
    <row r="1810" spans="8:9">
      <c r="H1810" s="61"/>
      <c r="I1810" s="61"/>
    </row>
    <row r="1811" spans="8:9">
      <c r="H1811" s="61"/>
      <c r="I1811" s="61"/>
    </row>
    <row r="1812" spans="8:9">
      <c r="H1812" s="61"/>
      <c r="I1812" s="61"/>
    </row>
    <row r="1813" spans="8:9">
      <c r="H1813" s="61"/>
      <c r="I1813" s="61"/>
    </row>
    <row r="1814" spans="8:9">
      <c r="H1814" s="61"/>
      <c r="I1814" s="61"/>
    </row>
    <row r="1815" spans="8:9">
      <c r="H1815" s="61"/>
      <c r="I1815" s="61"/>
    </row>
    <row r="1816" spans="8:9">
      <c r="H1816" s="61"/>
      <c r="I1816" s="61"/>
    </row>
    <row r="1817" spans="8:9">
      <c r="H1817" s="61"/>
      <c r="I1817" s="61"/>
    </row>
    <row r="1818" spans="8:9">
      <c r="H1818" s="61"/>
      <c r="I1818" s="61"/>
    </row>
    <row r="1819" spans="8:9">
      <c r="H1819" s="61"/>
      <c r="I1819" s="61"/>
    </row>
    <row r="1820" spans="8:9">
      <c r="H1820" s="61"/>
      <c r="I1820" s="61"/>
    </row>
    <row r="1821" spans="8:9">
      <c r="H1821" s="61"/>
      <c r="I1821" s="61"/>
    </row>
    <row r="1822" spans="8:9">
      <c r="H1822" s="61"/>
      <c r="I1822" s="61"/>
    </row>
    <row r="1823" spans="8:9">
      <c r="H1823" s="61"/>
      <c r="I1823" s="61"/>
    </row>
    <row r="1824" spans="8:9">
      <c r="H1824" s="61"/>
      <c r="I1824" s="61"/>
    </row>
    <row r="1825" spans="8:9">
      <c r="H1825" s="61"/>
      <c r="I1825" s="61"/>
    </row>
    <row r="1826" spans="8:9">
      <c r="H1826" s="61"/>
      <c r="I1826" s="61"/>
    </row>
    <row r="1827" spans="8:9">
      <c r="H1827" s="61"/>
      <c r="I1827" s="61"/>
    </row>
    <row r="1828" spans="8:9">
      <c r="H1828" s="61"/>
      <c r="I1828" s="61"/>
    </row>
    <row r="1829" spans="8:9">
      <c r="H1829" s="61"/>
      <c r="I1829" s="61"/>
    </row>
    <row r="1830" spans="8:9">
      <c r="H1830" s="61"/>
      <c r="I1830" s="61"/>
    </row>
    <row r="1831" spans="8:9">
      <c r="H1831" s="61"/>
      <c r="I1831" s="61"/>
    </row>
    <row r="1832" spans="8:9">
      <c r="H1832" s="61"/>
      <c r="I1832" s="61"/>
    </row>
    <row r="1833" spans="8:9">
      <c r="H1833" s="61"/>
      <c r="I1833" s="61"/>
    </row>
    <row r="1834" spans="8:9">
      <c r="H1834" s="61"/>
      <c r="I1834" s="61"/>
    </row>
    <row r="1835" spans="8:9">
      <c r="H1835" s="61"/>
      <c r="I1835" s="61"/>
    </row>
    <row r="1836" spans="8:9">
      <c r="H1836" s="61"/>
      <c r="I1836" s="61"/>
    </row>
    <row r="1837" spans="8:9">
      <c r="H1837" s="61"/>
      <c r="I1837" s="61"/>
    </row>
    <row r="1838" spans="8:9">
      <c r="H1838" s="61"/>
      <c r="I1838" s="61"/>
    </row>
    <row r="1839" spans="8:9">
      <c r="H1839" s="61"/>
      <c r="I1839" s="61"/>
    </row>
    <row r="1840" spans="8:9">
      <c r="H1840" s="61"/>
      <c r="I1840" s="61"/>
    </row>
    <row r="1841" spans="8:9">
      <c r="H1841" s="61"/>
      <c r="I1841" s="61"/>
    </row>
    <row r="1842" spans="8:9">
      <c r="H1842" s="61"/>
      <c r="I1842" s="61"/>
    </row>
    <row r="1843" spans="8:9">
      <c r="H1843" s="61"/>
      <c r="I1843" s="61"/>
    </row>
    <row r="1844" spans="8:9">
      <c r="H1844" s="61"/>
      <c r="I1844" s="61"/>
    </row>
    <row r="1845" spans="8:9">
      <c r="H1845" s="61"/>
      <c r="I1845" s="61"/>
    </row>
    <row r="1846" spans="8:9">
      <c r="H1846" s="61"/>
      <c r="I1846" s="61"/>
    </row>
    <row r="1847" spans="8:9">
      <c r="H1847" s="61"/>
      <c r="I1847" s="61"/>
    </row>
    <row r="1848" spans="8:9">
      <c r="H1848" s="61"/>
      <c r="I1848" s="61"/>
    </row>
    <row r="1849" spans="8:9">
      <c r="H1849" s="61"/>
      <c r="I1849" s="61"/>
    </row>
    <row r="1850" spans="8:9">
      <c r="H1850" s="61"/>
      <c r="I1850" s="61"/>
    </row>
    <row r="1851" spans="8:9">
      <c r="H1851" s="61"/>
      <c r="I1851" s="61"/>
    </row>
    <row r="1852" spans="8:9">
      <c r="H1852" s="61"/>
      <c r="I1852" s="61"/>
    </row>
    <row r="1853" spans="8:9">
      <c r="H1853" s="61"/>
      <c r="I1853" s="61"/>
    </row>
    <row r="1854" spans="8:9">
      <c r="H1854" s="61"/>
      <c r="I1854" s="61"/>
    </row>
    <row r="1855" spans="8:9">
      <c r="H1855" s="61"/>
      <c r="I1855" s="61"/>
    </row>
    <row r="1856" spans="8:9">
      <c r="H1856" s="61"/>
      <c r="I1856" s="61"/>
    </row>
    <row r="1857" spans="8:9">
      <c r="H1857" s="61"/>
      <c r="I1857" s="61"/>
    </row>
    <row r="1858" spans="8:9">
      <c r="H1858" s="61"/>
      <c r="I1858" s="61"/>
    </row>
    <row r="1859" spans="8:9">
      <c r="H1859" s="61"/>
      <c r="I1859" s="61"/>
    </row>
    <row r="1860" spans="8:9">
      <c r="H1860" s="61"/>
      <c r="I1860" s="61"/>
    </row>
    <row r="1861" spans="8:9">
      <c r="H1861" s="61"/>
      <c r="I1861" s="61"/>
    </row>
    <row r="1862" spans="8:9">
      <c r="H1862" s="61"/>
      <c r="I1862" s="61"/>
    </row>
    <row r="1863" spans="8:9">
      <c r="H1863" s="61"/>
      <c r="I1863" s="61"/>
    </row>
    <row r="1864" spans="8:9">
      <c r="H1864" s="61"/>
      <c r="I1864" s="61"/>
    </row>
    <row r="1865" spans="8:9">
      <c r="H1865" s="61"/>
      <c r="I1865" s="61"/>
    </row>
    <row r="1866" spans="8:9">
      <c r="H1866" s="61"/>
      <c r="I1866" s="61"/>
    </row>
    <row r="1867" spans="8:9">
      <c r="H1867" s="61"/>
      <c r="I1867" s="61"/>
    </row>
    <row r="1868" spans="8:9">
      <c r="H1868" s="61"/>
      <c r="I1868" s="61"/>
    </row>
    <row r="1869" spans="8:9">
      <c r="H1869" s="61"/>
      <c r="I1869" s="61"/>
    </row>
    <row r="1870" spans="8:9">
      <c r="H1870" s="61"/>
      <c r="I1870" s="61"/>
    </row>
    <row r="1871" spans="8:9">
      <c r="H1871" s="61"/>
      <c r="I1871" s="61"/>
    </row>
    <row r="1872" spans="8:9">
      <c r="H1872" s="61"/>
      <c r="I1872" s="61"/>
    </row>
    <row r="1873" spans="8:9">
      <c r="H1873" s="61"/>
      <c r="I1873" s="61"/>
    </row>
    <row r="1874" spans="8:9">
      <c r="H1874" s="61"/>
      <c r="I1874" s="61"/>
    </row>
    <row r="1875" spans="8:9">
      <c r="H1875" s="61"/>
      <c r="I1875" s="61"/>
    </row>
    <row r="1876" spans="8:9">
      <c r="H1876" s="61"/>
      <c r="I1876" s="61"/>
    </row>
    <row r="1877" spans="8:9">
      <c r="H1877" s="61"/>
      <c r="I1877" s="61"/>
    </row>
    <row r="1878" spans="8:9">
      <c r="H1878" s="61"/>
      <c r="I1878" s="61"/>
    </row>
    <row r="1879" spans="8:9">
      <c r="H1879" s="61"/>
      <c r="I1879" s="61"/>
    </row>
    <row r="1880" spans="8:9">
      <c r="H1880" s="61"/>
      <c r="I1880" s="61"/>
    </row>
    <row r="1881" spans="8:9">
      <c r="H1881" s="61"/>
      <c r="I1881" s="61"/>
    </row>
    <row r="1882" spans="8:9">
      <c r="H1882" s="61"/>
      <c r="I1882" s="61"/>
    </row>
    <row r="1883" spans="8:9">
      <c r="H1883" s="61"/>
      <c r="I1883" s="61"/>
    </row>
    <row r="1884" spans="8:9">
      <c r="H1884" s="61"/>
      <c r="I1884" s="61"/>
    </row>
    <row r="1885" spans="8:9">
      <c r="H1885" s="61"/>
      <c r="I1885" s="61"/>
    </row>
    <row r="1886" spans="8:9">
      <c r="H1886" s="61"/>
      <c r="I1886" s="61"/>
    </row>
    <row r="1887" spans="8:9">
      <c r="H1887" s="61"/>
      <c r="I1887" s="61"/>
    </row>
    <row r="1888" spans="8:9">
      <c r="H1888" s="61"/>
      <c r="I1888" s="61"/>
    </row>
    <row r="1889" spans="8:9">
      <c r="H1889" s="61"/>
      <c r="I1889" s="61"/>
    </row>
    <row r="1890" spans="8:9">
      <c r="H1890" s="61"/>
      <c r="I1890" s="61"/>
    </row>
    <row r="1891" spans="8:9">
      <c r="H1891" s="61"/>
      <c r="I1891" s="61"/>
    </row>
    <row r="1892" spans="8:9">
      <c r="H1892" s="61"/>
      <c r="I1892" s="61"/>
    </row>
    <row r="1893" spans="8:9">
      <c r="H1893" s="61"/>
      <c r="I1893" s="61"/>
    </row>
    <row r="1894" spans="8:9">
      <c r="H1894" s="61"/>
      <c r="I1894" s="61"/>
    </row>
    <row r="1895" spans="8:9">
      <c r="H1895" s="61"/>
      <c r="I1895" s="61"/>
    </row>
    <row r="1896" spans="8:9">
      <c r="H1896" s="61"/>
      <c r="I1896" s="61"/>
    </row>
    <row r="1897" spans="8:9">
      <c r="H1897" s="61"/>
      <c r="I1897" s="61"/>
    </row>
    <row r="1898" spans="8:9">
      <c r="H1898" s="61"/>
      <c r="I1898" s="61"/>
    </row>
    <row r="1899" spans="8:9">
      <c r="H1899" s="61"/>
      <c r="I1899" s="61"/>
    </row>
    <row r="1900" spans="8:9">
      <c r="H1900" s="61"/>
      <c r="I1900" s="61"/>
    </row>
    <row r="1901" spans="8:9">
      <c r="H1901" s="61"/>
      <c r="I1901" s="61"/>
    </row>
    <row r="1902" spans="8:9">
      <c r="H1902" s="61"/>
      <c r="I1902" s="61"/>
    </row>
    <row r="1903" spans="8:9">
      <c r="H1903" s="61"/>
      <c r="I1903" s="61"/>
    </row>
    <row r="1904" spans="8:9">
      <c r="H1904" s="61"/>
      <c r="I1904" s="61"/>
    </row>
    <row r="1905" spans="8:9">
      <c r="H1905" s="61"/>
      <c r="I1905" s="61"/>
    </row>
    <row r="1906" spans="8:9">
      <c r="H1906" s="61"/>
      <c r="I1906" s="61"/>
    </row>
    <row r="1907" spans="8:9">
      <c r="H1907" s="61"/>
      <c r="I1907" s="61"/>
    </row>
    <row r="1908" spans="8:9">
      <c r="H1908" s="61"/>
      <c r="I1908" s="61"/>
    </row>
    <row r="1909" spans="8:9">
      <c r="H1909" s="61"/>
      <c r="I1909" s="61"/>
    </row>
    <row r="1910" spans="8:9">
      <c r="H1910" s="61"/>
      <c r="I1910" s="61"/>
    </row>
    <row r="1911" spans="8:9">
      <c r="H1911" s="61"/>
      <c r="I1911" s="61"/>
    </row>
    <row r="1912" spans="8:9">
      <c r="H1912" s="61"/>
      <c r="I1912" s="61"/>
    </row>
    <row r="1913" spans="8:9">
      <c r="H1913" s="61"/>
      <c r="I1913" s="61"/>
    </row>
    <row r="1914" spans="8:9">
      <c r="H1914" s="61"/>
      <c r="I1914" s="61"/>
    </row>
    <row r="1915" spans="8:9">
      <c r="H1915" s="61"/>
      <c r="I1915" s="61"/>
    </row>
    <row r="1916" spans="8:9">
      <c r="H1916" s="61"/>
      <c r="I1916" s="61"/>
    </row>
    <row r="1917" spans="8:9">
      <c r="H1917" s="61"/>
      <c r="I1917" s="61"/>
    </row>
    <row r="1918" spans="8:9">
      <c r="H1918" s="61"/>
      <c r="I1918" s="61"/>
    </row>
    <row r="1919" spans="8:9">
      <c r="H1919" s="61"/>
      <c r="I1919" s="61"/>
    </row>
    <row r="1920" spans="8:9">
      <c r="H1920" s="61"/>
      <c r="I1920" s="61"/>
    </row>
    <row r="1921" spans="8:9">
      <c r="H1921" s="61"/>
      <c r="I1921" s="61"/>
    </row>
    <row r="1922" spans="8:9">
      <c r="H1922" s="61"/>
      <c r="I1922" s="61"/>
    </row>
    <row r="1923" spans="8:9">
      <c r="H1923" s="61"/>
      <c r="I1923" s="61"/>
    </row>
    <row r="1924" spans="8:9">
      <c r="H1924" s="61"/>
      <c r="I1924" s="61"/>
    </row>
    <row r="1925" spans="8:9">
      <c r="H1925" s="61"/>
      <c r="I1925" s="61"/>
    </row>
    <row r="1926" spans="8:9">
      <c r="H1926" s="61"/>
      <c r="I1926" s="61"/>
    </row>
    <row r="1927" spans="8:9">
      <c r="H1927" s="61"/>
      <c r="I1927" s="61"/>
    </row>
    <row r="1928" spans="8:9">
      <c r="H1928" s="61"/>
      <c r="I1928" s="61"/>
    </row>
    <row r="1929" spans="8:9">
      <c r="H1929" s="61"/>
      <c r="I1929" s="61"/>
    </row>
    <row r="1930" spans="8:9">
      <c r="H1930" s="61"/>
      <c r="I1930" s="61"/>
    </row>
    <row r="1931" spans="8:9">
      <c r="H1931" s="61"/>
      <c r="I1931" s="61"/>
    </row>
    <row r="1932" spans="8:9">
      <c r="H1932" s="61"/>
      <c r="I1932" s="61"/>
    </row>
    <row r="1933" spans="8:9">
      <c r="H1933" s="61"/>
      <c r="I1933" s="61"/>
    </row>
    <row r="1934" spans="8:9">
      <c r="H1934" s="61"/>
      <c r="I1934" s="61"/>
    </row>
    <row r="1935" spans="8:9">
      <c r="H1935" s="61"/>
      <c r="I1935" s="61"/>
    </row>
    <row r="1936" spans="8:9">
      <c r="H1936" s="61"/>
      <c r="I1936" s="61"/>
    </row>
    <row r="1937" spans="8:9">
      <c r="H1937" s="61"/>
      <c r="I1937" s="61"/>
    </row>
    <row r="1938" spans="8:9">
      <c r="H1938" s="61"/>
      <c r="I1938" s="61"/>
    </row>
    <row r="1939" spans="8:9">
      <c r="H1939" s="61"/>
      <c r="I1939" s="61"/>
    </row>
    <row r="1940" spans="8:9">
      <c r="H1940" s="61"/>
      <c r="I1940" s="61"/>
    </row>
    <row r="1941" spans="8:9">
      <c r="H1941" s="61"/>
      <c r="I1941" s="61"/>
    </row>
    <row r="1942" spans="8:9">
      <c r="H1942" s="61"/>
      <c r="I1942" s="61"/>
    </row>
    <row r="1943" spans="8:9">
      <c r="H1943" s="61"/>
      <c r="I1943" s="61"/>
    </row>
    <row r="1944" spans="8:9">
      <c r="H1944" s="61"/>
      <c r="I1944" s="61"/>
    </row>
    <row r="1945" spans="8:9">
      <c r="H1945" s="61"/>
      <c r="I1945" s="61"/>
    </row>
    <row r="1946" spans="8:9">
      <c r="H1946" s="61"/>
      <c r="I1946" s="61"/>
    </row>
    <row r="1947" spans="8:9">
      <c r="H1947" s="61"/>
      <c r="I1947" s="61"/>
    </row>
    <row r="1948" spans="8:9">
      <c r="H1948" s="61"/>
      <c r="I1948" s="61"/>
    </row>
    <row r="1949" spans="8:9">
      <c r="H1949" s="61"/>
      <c r="I1949" s="61"/>
    </row>
    <row r="1950" spans="8:9">
      <c r="H1950" s="61"/>
      <c r="I1950" s="61"/>
    </row>
    <row r="1951" spans="8:9">
      <c r="H1951" s="61"/>
      <c r="I1951" s="61"/>
    </row>
    <row r="1952" spans="8:9">
      <c r="H1952" s="61"/>
      <c r="I1952" s="61"/>
    </row>
    <row r="1953" spans="8:9">
      <c r="H1953" s="61"/>
      <c r="I1953" s="61"/>
    </row>
    <row r="1954" spans="8:9">
      <c r="H1954" s="61"/>
      <c r="I1954" s="61"/>
    </row>
    <row r="1955" spans="8:9">
      <c r="H1955" s="61"/>
      <c r="I1955" s="61"/>
    </row>
    <row r="1956" spans="8:9">
      <c r="H1956" s="61"/>
      <c r="I1956" s="61"/>
    </row>
    <row r="1957" spans="8:9">
      <c r="H1957" s="61"/>
      <c r="I1957" s="61"/>
    </row>
    <row r="1958" spans="8:9">
      <c r="H1958" s="61"/>
      <c r="I1958" s="61"/>
    </row>
    <row r="1959" spans="8:9">
      <c r="H1959" s="61"/>
      <c r="I1959" s="61"/>
    </row>
    <row r="1960" spans="8:9">
      <c r="H1960" s="61"/>
      <c r="I1960" s="61"/>
    </row>
    <row r="1961" spans="8:9">
      <c r="H1961" s="61"/>
      <c r="I1961" s="61"/>
    </row>
    <row r="1962" spans="8:9">
      <c r="H1962" s="61"/>
      <c r="I1962" s="61"/>
    </row>
    <row r="1963" spans="8:9">
      <c r="H1963" s="61"/>
      <c r="I1963" s="61"/>
    </row>
    <row r="1964" spans="8:9">
      <c r="H1964" s="61"/>
      <c r="I1964" s="61"/>
    </row>
    <row r="1965" spans="8:9">
      <c r="H1965" s="61"/>
      <c r="I1965" s="61"/>
    </row>
    <row r="1966" spans="8:9">
      <c r="H1966" s="61"/>
      <c r="I1966" s="61"/>
    </row>
    <row r="1967" spans="8:9">
      <c r="H1967" s="61"/>
      <c r="I1967" s="61"/>
    </row>
    <row r="1968" spans="8:9">
      <c r="H1968" s="61"/>
      <c r="I1968" s="61"/>
    </row>
    <row r="1969" spans="8:9">
      <c r="H1969" s="61"/>
      <c r="I1969" s="61"/>
    </row>
    <row r="1970" spans="8:9">
      <c r="H1970" s="61"/>
      <c r="I1970" s="61"/>
    </row>
    <row r="1971" spans="8:9">
      <c r="H1971" s="61"/>
      <c r="I1971" s="61"/>
    </row>
    <row r="1972" spans="8:9">
      <c r="H1972" s="61"/>
      <c r="I1972" s="61"/>
    </row>
    <row r="1973" spans="8:9">
      <c r="H1973" s="61"/>
      <c r="I1973" s="61"/>
    </row>
    <row r="1974" spans="8:9">
      <c r="H1974" s="61"/>
      <c r="I1974" s="61"/>
    </row>
    <row r="1975" spans="8:9">
      <c r="H1975" s="61"/>
      <c r="I1975" s="61"/>
    </row>
    <row r="1976" spans="8:9">
      <c r="H1976" s="61"/>
      <c r="I1976" s="61"/>
    </row>
    <row r="1977" spans="8:9">
      <c r="H1977" s="61"/>
      <c r="I1977" s="61"/>
    </row>
    <row r="1978" spans="8:9">
      <c r="H1978" s="61"/>
      <c r="I1978" s="61"/>
    </row>
    <row r="1979" spans="8:9">
      <c r="H1979" s="61"/>
      <c r="I1979" s="61"/>
    </row>
    <row r="1980" spans="8:9">
      <c r="H1980" s="61"/>
      <c r="I1980" s="61"/>
    </row>
    <row r="1981" spans="8:9">
      <c r="H1981" s="61"/>
      <c r="I1981" s="61"/>
    </row>
    <row r="1982" spans="8:9">
      <c r="H1982" s="61"/>
      <c r="I1982" s="61"/>
    </row>
    <row r="1983" spans="8:9">
      <c r="H1983" s="61"/>
      <c r="I1983" s="61"/>
    </row>
    <row r="1984" spans="8:9">
      <c r="H1984" s="61"/>
      <c r="I1984" s="61"/>
    </row>
    <row r="1985" spans="8:9">
      <c r="H1985" s="61"/>
      <c r="I1985" s="61"/>
    </row>
    <row r="1986" spans="8:9">
      <c r="H1986" s="61"/>
      <c r="I1986" s="61"/>
    </row>
    <row r="1987" spans="8:9">
      <c r="H1987" s="61"/>
      <c r="I1987" s="61"/>
    </row>
    <row r="1988" spans="8:9">
      <c r="H1988" s="61"/>
      <c r="I1988" s="61"/>
    </row>
    <row r="1989" spans="8:9">
      <c r="H1989" s="61"/>
      <c r="I1989" s="61"/>
    </row>
    <row r="1990" spans="8:9">
      <c r="H1990" s="61"/>
      <c r="I1990" s="61"/>
    </row>
    <row r="1991" spans="8:9">
      <c r="H1991" s="61"/>
      <c r="I1991" s="61"/>
    </row>
    <row r="1992" spans="8:9">
      <c r="H1992" s="61"/>
      <c r="I1992" s="61"/>
    </row>
    <row r="1993" spans="8:9">
      <c r="H1993" s="61"/>
      <c r="I1993" s="61"/>
    </row>
    <row r="1994" spans="8:9">
      <c r="H1994" s="61"/>
      <c r="I1994" s="61"/>
    </row>
    <row r="1995" spans="8:9">
      <c r="H1995" s="61"/>
      <c r="I1995" s="61"/>
    </row>
    <row r="1996" spans="8:9">
      <c r="H1996" s="61"/>
      <c r="I1996" s="61"/>
    </row>
    <row r="1997" spans="8:9">
      <c r="H1997" s="61"/>
      <c r="I1997" s="61"/>
    </row>
    <row r="1998" spans="8:9">
      <c r="H1998" s="61"/>
      <c r="I1998" s="61"/>
    </row>
    <row r="1999" spans="8:9">
      <c r="H1999" s="61"/>
      <c r="I1999" s="61"/>
    </row>
    <row r="2000" spans="8:9">
      <c r="H2000" s="61"/>
      <c r="I2000" s="61"/>
    </row>
    <row r="2001" spans="8:9">
      <c r="H2001" s="61"/>
      <c r="I2001" s="61"/>
    </row>
    <row r="2002" spans="8:9">
      <c r="H2002" s="61"/>
      <c r="I2002" s="61"/>
    </row>
    <row r="2003" spans="8:9">
      <c r="H2003" s="61"/>
      <c r="I2003" s="61"/>
    </row>
    <row r="2004" spans="8:9">
      <c r="H2004" s="61"/>
      <c r="I2004" s="61"/>
    </row>
    <row r="2005" spans="8:9">
      <c r="H2005" s="61"/>
      <c r="I2005" s="61"/>
    </row>
    <row r="2006" spans="8:9">
      <c r="H2006" s="61"/>
      <c r="I2006" s="61"/>
    </row>
    <row r="2007" spans="8:9">
      <c r="H2007" s="61"/>
      <c r="I2007" s="61"/>
    </row>
    <row r="2008" spans="8:9">
      <c r="H2008" s="61"/>
      <c r="I2008" s="61"/>
    </row>
    <row r="2009" spans="8:9">
      <c r="H2009" s="61"/>
      <c r="I2009" s="61"/>
    </row>
    <row r="2010" spans="8:9">
      <c r="H2010" s="61"/>
      <c r="I2010" s="61"/>
    </row>
    <row r="2011" spans="8:9">
      <c r="H2011" s="61"/>
      <c r="I2011" s="61"/>
    </row>
    <row r="2012" spans="8:9">
      <c r="H2012" s="61"/>
      <c r="I2012" s="61"/>
    </row>
    <row r="2013" spans="8:9">
      <c r="H2013" s="61"/>
      <c r="I2013" s="61"/>
    </row>
    <row r="2014" spans="8:9">
      <c r="H2014" s="61"/>
      <c r="I2014" s="61"/>
    </row>
    <row r="2015" spans="8:9">
      <c r="H2015" s="61"/>
      <c r="I2015" s="61"/>
    </row>
    <row r="2016" spans="8:9">
      <c r="H2016" s="61"/>
      <c r="I2016" s="61"/>
    </row>
    <row r="2017" spans="8:9">
      <c r="H2017" s="61"/>
      <c r="I2017" s="61"/>
    </row>
    <row r="2018" spans="8:9">
      <c r="H2018" s="61"/>
      <c r="I2018" s="61"/>
    </row>
    <row r="2019" spans="8:9">
      <c r="H2019" s="61"/>
      <c r="I2019" s="61"/>
    </row>
    <row r="2020" spans="8:9">
      <c r="H2020" s="61"/>
      <c r="I2020" s="61"/>
    </row>
    <row r="2021" spans="8:9">
      <c r="H2021" s="61"/>
      <c r="I2021" s="61"/>
    </row>
    <row r="2022" spans="8:9">
      <c r="H2022" s="61"/>
      <c r="I2022" s="61"/>
    </row>
    <row r="2023" spans="8:9">
      <c r="H2023" s="61"/>
      <c r="I2023" s="61"/>
    </row>
    <row r="2024" spans="8:9">
      <c r="H2024" s="61"/>
      <c r="I2024" s="61"/>
    </row>
    <row r="2025" spans="8:9">
      <c r="H2025" s="61"/>
      <c r="I2025" s="61"/>
    </row>
    <row r="2026" spans="8:9">
      <c r="H2026" s="61"/>
      <c r="I2026" s="61"/>
    </row>
    <row r="2027" spans="8:9">
      <c r="H2027" s="61"/>
      <c r="I2027" s="61"/>
    </row>
    <row r="2028" spans="8:9">
      <c r="H2028" s="61"/>
      <c r="I2028" s="61"/>
    </row>
    <row r="2029" spans="8:9">
      <c r="H2029" s="61"/>
      <c r="I2029" s="61"/>
    </row>
    <row r="2030" spans="8:9">
      <c r="H2030" s="61"/>
      <c r="I2030" s="61"/>
    </row>
    <row r="2031" spans="8:9">
      <c r="H2031" s="61"/>
      <c r="I2031" s="61"/>
    </row>
    <row r="2032" spans="8:9">
      <c r="H2032" s="61"/>
      <c r="I2032" s="61"/>
    </row>
    <row r="2033" spans="8:9">
      <c r="H2033" s="61"/>
      <c r="I2033" s="61"/>
    </row>
    <row r="2034" spans="8:9">
      <c r="H2034" s="61"/>
      <c r="I2034" s="61"/>
    </row>
    <row r="2035" spans="8:9">
      <c r="H2035" s="61"/>
      <c r="I2035" s="61"/>
    </row>
    <row r="2036" spans="8:9">
      <c r="H2036" s="61"/>
      <c r="I2036" s="61"/>
    </row>
    <row r="2037" spans="8:9">
      <c r="H2037" s="61"/>
      <c r="I2037" s="61"/>
    </row>
    <row r="2038" spans="8:9">
      <c r="H2038" s="61"/>
      <c r="I2038" s="61"/>
    </row>
    <row r="2039" spans="8:9">
      <c r="H2039" s="61"/>
      <c r="I2039" s="61"/>
    </row>
    <row r="2040" spans="8:9">
      <c r="H2040" s="61"/>
      <c r="I2040" s="61"/>
    </row>
    <row r="2041" spans="8:9">
      <c r="H2041" s="61"/>
      <c r="I2041" s="61"/>
    </row>
    <row r="2042" spans="8:9">
      <c r="H2042" s="61"/>
      <c r="I2042" s="61"/>
    </row>
    <row r="2043" spans="8:9">
      <c r="H2043" s="61"/>
      <c r="I2043" s="61"/>
    </row>
    <row r="2044" spans="8:9">
      <c r="H2044" s="61"/>
      <c r="I2044" s="61"/>
    </row>
    <row r="2045" spans="8:9">
      <c r="H2045" s="61"/>
      <c r="I2045" s="61"/>
    </row>
    <row r="2046" spans="8:9">
      <c r="H2046" s="61"/>
      <c r="I2046" s="61"/>
    </row>
    <row r="2047" spans="8:9">
      <c r="H2047" s="61"/>
      <c r="I2047" s="61"/>
    </row>
    <row r="2048" spans="8:9">
      <c r="H2048" s="61"/>
      <c r="I2048" s="61"/>
    </row>
    <row r="2049" spans="8:9">
      <c r="H2049" s="61"/>
      <c r="I2049" s="61"/>
    </row>
    <row r="2050" spans="8:9">
      <c r="H2050" s="61"/>
      <c r="I2050" s="61"/>
    </row>
    <row r="2051" spans="8:9">
      <c r="H2051" s="61"/>
      <c r="I2051" s="61"/>
    </row>
    <row r="2052" spans="8:9">
      <c r="H2052" s="61"/>
      <c r="I2052" s="61"/>
    </row>
    <row r="2053" spans="8:9">
      <c r="H2053" s="61"/>
      <c r="I2053" s="61"/>
    </row>
    <row r="2054" spans="8:9">
      <c r="H2054" s="61"/>
      <c r="I2054" s="61"/>
    </row>
    <row r="2055" spans="8:9">
      <c r="H2055" s="61"/>
      <c r="I2055" s="61"/>
    </row>
    <row r="2056" spans="8:9">
      <c r="H2056" s="61"/>
      <c r="I2056" s="61"/>
    </row>
    <row r="2057" spans="8:9">
      <c r="H2057" s="61"/>
      <c r="I2057" s="61"/>
    </row>
    <row r="2058" spans="8:9">
      <c r="H2058" s="61"/>
      <c r="I2058" s="61"/>
    </row>
    <row r="2059" spans="8:9">
      <c r="H2059" s="61"/>
      <c r="I2059" s="61"/>
    </row>
    <row r="2060" spans="8:9">
      <c r="H2060" s="61"/>
      <c r="I2060" s="61"/>
    </row>
    <row r="2061" spans="8:9">
      <c r="H2061" s="61"/>
      <c r="I2061" s="61"/>
    </row>
    <row r="2062" spans="8:9">
      <c r="H2062" s="61"/>
      <c r="I2062" s="61"/>
    </row>
    <row r="2063" spans="8:9">
      <c r="H2063" s="61"/>
      <c r="I2063" s="61"/>
    </row>
    <row r="2064" spans="8:9">
      <c r="H2064" s="61"/>
      <c r="I2064" s="61"/>
    </row>
    <row r="2065" spans="8:9">
      <c r="H2065" s="61"/>
      <c r="I2065" s="61"/>
    </row>
    <row r="2066" spans="8:9">
      <c r="H2066" s="61"/>
      <c r="I2066" s="61"/>
    </row>
    <row r="2067" spans="8:9">
      <c r="H2067" s="61"/>
      <c r="I2067" s="61"/>
    </row>
    <row r="2068" spans="8:9">
      <c r="H2068" s="61"/>
      <c r="I2068" s="61"/>
    </row>
    <row r="2069" spans="8:9">
      <c r="H2069" s="61"/>
      <c r="I2069" s="61"/>
    </row>
    <row r="2070" spans="8:9">
      <c r="H2070" s="61"/>
      <c r="I2070" s="61"/>
    </row>
    <row r="2071" spans="8:9">
      <c r="H2071" s="61"/>
      <c r="I2071" s="61"/>
    </row>
    <row r="2072" spans="8:9">
      <c r="H2072" s="61"/>
      <c r="I2072" s="61"/>
    </row>
    <row r="2073" spans="8:9">
      <c r="H2073" s="61"/>
      <c r="I2073" s="61"/>
    </row>
    <row r="2074" spans="8:9">
      <c r="H2074" s="61"/>
      <c r="I2074" s="61"/>
    </row>
    <row r="2075" spans="8:9">
      <c r="H2075" s="61"/>
      <c r="I2075" s="61"/>
    </row>
    <row r="2076" spans="8:9">
      <c r="H2076" s="61"/>
      <c r="I2076" s="61"/>
    </row>
    <row r="2077" spans="8:9">
      <c r="H2077" s="61"/>
      <c r="I2077" s="61"/>
    </row>
    <row r="2078" spans="8:9">
      <c r="H2078" s="61"/>
      <c r="I2078" s="61"/>
    </row>
    <row r="2079" spans="8:9">
      <c r="H2079" s="61"/>
      <c r="I2079" s="61"/>
    </row>
    <row r="2080" spans="8:9">
      <c r="H2080" s="61"/>
      <c r="I2080" s="61"/>
    </row>
    <row r="2081" spans="8:9">
      <c r="H2081" s="61"/>
      <c r="I2081" s="61"/>
    </row>
    <row r="2082" spans="8:9">
      <c r="H2082" s="61"/>
      <c r="I2082" s="61"/>
    </row>
    <row r="2083" spans="8:9">
      <c r="H2083" s="61"/>
      <c r="I2083" s="61"/>
    </row>
    <row r="2084" spans="8:9">
      <c r="H2084" s="61"/>
      <c r="I2084" s="61"/>
    </row>
    <row r="2085" spans="8:9">
      <c r="H2085" s="61"/>
      <c r="I2085" s="61"/>
    </row>
    <row r="2086" spans="8:9">
      <c r="H2086" s="61"/>
      <c r="I2086" s="61"/>
    </row>
    <row r="2087" spans="8:9">
      <c r="H2087" s="61"/>
      <c r="I2087" s="61"/>
    </row>
    <row r="2088" spans="8:9">
      <c r="H2088" s="61"/>
      <c r="I2088" s="61"/>
    </row>
    <row r="2089" spans="8:9">
      <c r="H2089" s="61"/>
      <c r="I2089" s="61"/>
    </row>
    <row r="2090" spans="8:9">
      <c r="H2090" s="61"/>
      <c r="I2090" s="61"/>
    </row>
    <row r="2091" spans="8:9">
      <c r="H2091" s="61"/>
      <c r="I2091" s="61"/>
    </row>
    <row r="2092" spans="8:9">
      <c r="H2092" s="61"/>
      <c r="I2092" s="61"/>
    </row>
    <row r="2093" spans="8:9">
      <c r="H2093" s="61"/>
      <c r="I2093" s="61"/>
    </row>
    <row r="2094" spans="8:9">
      <c r="H2094" s="61"/>
      <c r="I2094" s="61"/>
    </row>
    <row r="2095" spans="8:9">
      <c r="H2095" s="61"/>
      <c r="I2095" s="61"/>
    </row>
    <row r="2096" spans="8:9">
      <c r="H2096" s="61"/>
      <c r="I2096" s="61"/>
    </row>
    <row r="2097" spans="8:9">
      <c r="H2097" s="61"/>
      <c r="I2097" s="61"/>
    </row>
    <row r="2098" spans="8:9">
      <c r="H2098" s="61"/>
      <c r="I2098" s="61"/>
    </row>
    <row r="2099" spans="8:9">
      <c r="H2099" s="61"/>
      <c r="I2099" s="61"/>
    </row>
    <row r="2100" spans="8:9">
      <c r="H2100" s="61"/>
      <c r="I2100" s="61"/>
    </row>
    <row r="2101" spans="8:9">
      <c r="H2101" s="61"/>
      <c r="I2101" s="61"/>
    </row>
    <row r="2102" spans="8:9">
      <c r="H2102" s="61"/>
      <c r="I2102" s="61"/>
    </row>
    <row r="2103" spans="8:9">
      <c r="H2103" s="61"/>
      <c r="I2103" s="61"/>
    </row>
    <row r="2104" spans="8:9">
      <c r="H2104" s="61"/>
      <c r="I2104" s="61"/>
    </row>
    <row r="2105" spans="8:9">
      <c r="H2105" s="61"/>
      <c r="I2105" s="61"/>
    </row>
    <row r="2106" spans="8:9">
      <c r="H2106" s="61"/>
      <c r="I2106" s="61"/>
    </row>
    <row r="2107" spans="8:9">
      <c r="H2107" s="61"/>
      <c r="I2107" s="61"/>
    </row>
    <row r="2108" spans="8:9">
      <c r="H2108" s="61"/>
      <c r="I2108" s="61"/>
    </row>
    <row r="2109" spans="8:9">
      <c r="H2109" s="61"/>
      <c r="I2109" s="61"/>
    </row>
    <row r="2110" spans="8:9">
      <c r="H2110" s="61"/>
      <c r="I2110" s="61"/>
    </row>
    <row r="2111" spans="8:9">
      <c r="H2111" s="61"/>
      <c r="I2111" s="61"/>
    </row>
    <row r="2112" spans="8:9">
      <c r="H2112" s="61"/>
      <c r="I2112" s="61"/>
    </row>
    <row r="2113" spans="8:9">
      <c r="H2113" s="61"/>
      <c r="I2113" s="61"/>
    </row>
    <row r="2114" spans="8:9">
      <c r="H2114" s="61"/>
      <c r="I2114" s="61"/>
    </row>
    <row r="2115" spans="8:9">
      <c r="H2115" s="61"/>
      <c r="I2115" s="61"/>
    </row>
    <row r="2116" spans="8:9">
      <c r="H2116" s="61"/>
      <c r="I2116" s="61"/>
    </row>
    <row r="2117" spans="8:9">
      <c r="H2117" s="61"/>
      <c r="I2117" s="61"/>
    </row>
    <row r="2118" spans="8:9">
      <c r="H2118" s="61"/>
      <c r="I2118" s="61"/>
    </row>
    <row r="2119" spans="8:9">
      <c r="H2119" s="61"/>
      <c r="I2119" s="61"/>
    </row>
    <row r="2120" spans="8:9">
      <c r="H2120" s="61"/>
      <c r="I2120" s="61"/>
    </row>
    <row r="2121" spans="8:9">
      <c r="H2121" s="61"/>
      <c r="I2121" s="61"/>
    </row>
    <row r="2122" spans="8:9">
      <c r="H2122" s="61"/>
      <c r="I2122" s="61"/>
    </row>
    <row r="2123" spans="8:9">
      <c r="H2123" s="61"/>
      <c r="I2123" s="61"/>
    </row>
    <row r="2124" spans="8:9">
      <c r="H2124" s="61"/>
      <c r="I2124" s="61"/>
    </row>
    <row r="2125" spans="8:9">
      <c r="H2125" s="61"/>
      <c r="I2125" s="61"/>
    </row>
    <row r="2126" spans="8:9">
      <c r="H2126" s="61"/>
      <c r="I2126" s="61"/>
    </row>
    <row r="2127" spans="8:9">
      <c r="H2127" s="61"/>
      <c r="I2127" s="61"/>
    </row>
    <row r="2128" spans="8:9">
      <c r="H2128" s="61"/>
      <c r="I2128" s="61"/>
    </row>
    <row r="2129" spans="8:9">
      <c r="H2129" s="61"/>
      <c r="I2129" s="61"/>
    </row>
    <row r="2130" spans="8:9">
      <c r="H2130" s="61"/>
      <c r="I2130" s="61"/>
    </row>
    <row r="2131" spans="8:9">
      <c r="H2131" s="61"/>
      <c r="I2131" s="61"/>
    </row>
    <row r="2132" spans="8:9">
      <c r="H2132" s="61"/>
      <c r="I2132" s="61"/>
    </row>
    <row r="2133" spans="8:9">
      <c r="H2133" s="61"/>
      <c r="I2133" s="61"/>
    </row>
    <row r="2134" spans="8:9">
      <c r="H2134" s="61"/>
      <c r="I2134" s="61"/>
    </row>
    <row r="2135" spans="8:9">
      <c r="H2135" s="61"/>
      <c r="I2135" s="61"/>
    </row>
    <row r="2136" spans="8:9">
      <c r="H2136" s="61"/>
      <c r="I2136" s="61"/>
    </row>
    <row r="2137" spans="8:9">
      <c r="H2137" s="61"/>
      <c r="I2137" s="61"/>
    </row>
    <row r="2138" spans="8:9">
      <c r="H2138" s="61"/>
      <c r="I2138" s="61"/>
    </row>
    <row r="2139" spans="8:9">
      <c r="H2139" s="61"/>
      <c r="I2139" s="61"/>
    </row>
    <row r="2140" spans="8:9">
      <c r="H2140" s="61"/>
      <c r="I2140" s="61"/>
    </row>
    <row r="2141" spans="8:9">
      <c r="H2141" s="61"/>
      <c r="I2141" s="61"/>
    </row>
    <row r="2142" spans="8:9">
      <c r="H2142" s="61"/>
      <c r="I2142" s="61"/>
    </row>
    <row r="2143" spans="8:9">
      <c r="H2143" s="61"/>
      <c r="I2143" s="61"/>
    </row>
    <row r="2144" spans="8:9">
      <c r="H2144" s="61"/>
      <c r="I2144" s="61"/>
    </row>
    <row r="2145" spans="8:9">
      <c r="H2145" s="61"/>
      <c r="I2145" s="61"/>
    </row>
    <row r="2146" spans="8:9">
      <c r="H2146" s="61"/>
      <c r="I2146" s="61"/>
    </row>
    <row r="2147" spans="8:9">
      <c r="H2147" s="61"/>
      <c r="I2147" s="61"/>
    </row>
    <row r="2148" spans="8:9">
      <c r="H2148" s="61"/>
      <c r="I2148" s="61"/>
    </row>
    <row r="2149" spans="8:9">
      <c r="H2149" s="61"/>
      <c r="I2149" s="61"/>
    </row>
    <row r="2150" spans="8:9">
      <c r="H2150" s="61"/>
      <c r="I2150" s="61"/>
    </row>
    <row r="2151" spans="8:9">
      <c r="H2151" s="61"/>
      <c r="I2151" s="61"/>
    </row>
    <row r="2152" spans="8:9">
      <c r="H2152" s="61"/>
      <c r="I2152" s="61"/>
    </row>
    <row r="2153" spans="8:9">
      <c r="H2153" s="61"/>
      <c r="I2153" s="61"/>
    </row>
    <row r="2154" spans="8:9">
      <c r="H2154" s="61"/>
      <c r="I2154" s="61"/>
    </row>
    <row r="2155" spans="8:9">
      <c r="H2155" s="61"/>
      <c r="I2155" s="61"/>
    </row>
    <row r="2156" spans="8:9">
      <c r="H2156" s="61"/>
      <c r="I2156" s="61"/>
    </row>
    <row r="2157" spans="8:9">
      <c r="H2157" s="61"/>
      <c r="I2157" s="61"/>
    </row>
    <row r="2158" spans="8:9">
      <c r="H2158" s="61"/>
      <c r="I2158" s="61"/>
    </row>
    <row r="2159" spans="8:9">
      <c r="H2159" s="61"/>
      <c r="I2159" s="61"/>
    </row>
    <row r="2160" spans="8:9">
      <c r="H2160" s="61"/>
      <c r="I2160" s="61"/>
    </row>
    <row r="2161" spans="8:9">
      <c r="H2161" s="61"/>
      <c r="I2161" s="61"/>
    </row>
    <row r="2162" spans="8:9">
      <c r="H2162" s="61"/>
      <c r="I2162" s="61"/>
    </row>
    <row r="2163" spans="8:9">
      <c r="H2163" s="61"/>
      <c r="I2163" s="61"/>
    </row>
    <row r="2164" spans="8:9">
      <c r="H2164" s="61"/>
      <c r="I2164" s="61"/>
    </row>
    <row r="2165" spans="8:9">
      <c r="H2165" s="61"/>
      <c r="I2165" s="61"/>
    </row>
    <row r="2166" spans="8:9">
      <c r="H2166" s="61"/>
      <c r="I2166" s="61"/>
    </row>
    <row r="2167" spans="8:9">
      <c r="H2167" s="61"/>
      <c r="I2167" s="61"/>
    </row>
    <row r="2168" spans="8:9">
      <c r="H2168" s="61"/>
      <c r="I2168" s="61"/>
    </row>
    <row r="2169" spans="8:9">
      <c r="H2169" s="61"/>
      <c r="I2169" s="61"/>
    </row>
    <row r="2170" spans="8:9">
      <c r="H2170" s="61"/>
      <c r="I2170" s="61"/>
    </row>
    <row r="2171" spans="8:9">
      <c r="H2171" s="61"/>
      <c r="I2171" s="61"/>
    </row>
    <row r="2172" spans="8:9">
      <c r="H2172" s="61"/>
      <c r="I2172" s="61"/>
    </row>
    <row r="2173" spans="8:9">
      <c r="H2173" s="61"/>
      <c r="I2173" s="61"/>
    </row>
    <row r="2174" spans="8:9">
      <c r="H2174" s="61"/>
      <c r="I2174" s="61"/>
    </row>
    <row r="2175" spans="8:9">
      <c r="H2175" s="61"/>
      <c r="I2175" s="61"/>
    </row>
    <row r="2176" spans="8:9">
      <c r="H2176" s="61"/>
      <c r="I2176" s="61"/>
    </row>
    <row r="2177" spans="8:9">
      <c r="H2177" s="61"/>
      <c r="I2177" s="61"/>
    </row>
    <row r="2178" spans="8:9">
      <c r="H2178" s="61"/>
      <c r="I2178" s="61"/>
    </row>
    <row r="2179" spans="8:9">
      <c r="H2179" s="61"/>
      <c r="I2179" s="61"/>
    </row>
    <row r="2180" spans="8:9">
      <c r="H2180" s="61"/>
      <c r="I2180" s="61"/>
    </row>
    <row r="2181" spans="8:9">
      <c r="H2181" s="61"/>
      <c r="I2181" s="61"/>
    </row>
    <row r="2182" spans="8:9">
      <c r="H2182" s="61"/>
      <c r="I2182" s="61"/>
    </row>
    <row r="2183" spans="8:9">
      <c r="H2183" s="61"/>
      <c r="I2183" s="61"/>
    </row>
    <row r="2184" spans="8:9">
      <c r="H2184" s="61"/>
      <c r="I2184" s="61"/>
    </row>
    <row r="2185" spans="8:9">
      <c r="H2185" s="61"/>
      <c r="I2185" s="61"/>
    </row>
    <row r="2186" spans="8:9">
      <c r="H2186" s="61"/>
      <c r="I2186" s="61"/>
    </row>
    <row r="2187" spans="8:9">
      <c r="H2187" s="61"/>
      <c r="I2187" s="61"/>
    </row>
    <row r="2188" spans="8:9">
      <c r="H2188" s="61"/>
      <c r="I2188" s="61"/>
    </row>
    <row r="2189" spans="8:9">
      <c r="H2189" s="61"/>
      <c r="I2189" s="61"/>
    </row>
    <row r="2190" spans="8:9">
      <c r="H2190" s="61"/>
      <c r="I2190" s="61"/>
    </row>
    <row r="2191" spans="8:9">
      <c r="H2191" s="61"/>
      <c r="I2191" s="61"/>
    </row>
    <row r="2192" spans="8:9">
      <c r="H2192" s="61"/>
      <c r="I2192" s="61"/>
    </row>
    <row r="2193" spans="8:9">
      <c r="H2193" s="61"/>
      <c r="I2193" s="61"/>
    </row>
    <row r="2194" spans="8:9">
      <c r="H2194" s="61"/>
      <c r="I2194" s="61"/>
    </row>
    <row r="2195" spans="8:9">
      <c r="H2195" s="61"/>
      <c r="I2195" s="61"/>
    </row>
    <row r="2196" spans="8:9">
      <c r="H2196" s="61"/>
      <c r="I2196" s="61"/>
    </row>
    <row r="2197" spans="8:9">
      <c r="H2197" s="61"/>
      <c r="I2197" s="61"/>
    </row>
    <row r="2198" spans="8:9">
      <c r="H2198" s="61"/>
      <c r="I2198" s="61"/>
    </row>
    <row r="2199" spans="8:9">
      <c r="H2199" s="61"/>
      <c r="I2199" s="61"/>
    </row>
    <row r="2200" spans="8:9">
      <c r="H2200" s="61"/>
      <c r="I2200" s="61"/>
    </row>
    <row r="2201" spans="8:9">
      <c r="H2201" s="61"/>
      <c r="I2201" s="61"/>
    </row>
    <row r="2202" spans="8:9">
      <c r="H2202" s="61"/>
      <c r="I2202" s="61"/>
    </row>
    <row r="2203" spans="8:9">
      <c r="H2203" s="61"/>
      <c r="I2203" s="61"/>
    </row>
    <row r="2204" spans="8:9">
      <c r="H2204" s="61"/>
      <c r="I2204" s="61"/>
    </row>
    <row r="2205" spans="8:9">
      <c r="H2205" s="61"/>
      <c r="I2205" s="61"/>
    </row>
    <row r="2206" spans="8:9">
      <c r="H2206" s="61"/>
      <c r="I2206" s="61"/>
    </row>
    <row r="2207" spans="8:9">
      <c r="H2207" s="61"/>
      <c r="I2207" s="61"/>
    </row>
    <row r="2208" spans="8:9">
      <c r="H2208" s="61"/>
      <c r="I2208" s="61"/>
    </row>
    <row r="2209" spans="8:9">
      <c r="H2209" s="61"/>
      <c r="I2209" s="61"/>
    </row>
    <row r="2210" spans="8:9">
      <c r="H2210" s="61"/>
      <c r="I2210" s="61"/>
    </row>
    <row r="2211" spans="8:9">
      <c r="H2211" s="61"/>
      <c r="I2211" s="61"/>
    </row>
    <row r="2212" spans="8:9">
      <c r="H2212" s="61"/>
      <c r="I2212" s="61"/>
    </row>
    <row r="2213" spans="8:9">
      <c r="H2213" s="61"/>
      <c r="I2213" s="61"/>
    </row>
    <row r="2214" spans="8:9">
      <c r="H2214" s="61"/>
      <c r="I2214" s="61"/>
    </row>
    <row r="2215" spans="8:9">
      <c r="H2215" s="61"/>
      <c r="I2215" s="61"/>
    </row>
    <row r="2216" spans="8:9">
      <c r="H2216" s="61"/>
      <c r="I2216" s="61"/>
    </row>
    <row r="2217" spans="8:9">
      <c r="H2217" s="61"/>
      <c r="I2217" s="61"/>
    </row>
    <row r="2218" spans="8:9">
      <c r="H2218" s="61"/>
      <c r="I2218" s="61"/>
    </row>
    <row r="2219" spans="8:9">
      <c r="H2219" s="61"/>
      <c r="I2219" s="61"/>
    </row>
    <row r="2220" spans="8:9">
      <c r="H2220" s="61"/>
      <c r="I2220" s="61"/>
    </row>
    <row r="2221" spans="8:9">
      <c r="H2221" s="61"/>
      <c r="I2221" s="61"/>
    </row>
    <row r="2222" spans="8:9">
      <c r="H2222" s="61"/>
      <c r="I2222" s="61"/>
    </row>
    <row r="2223" spans="8:9">
      <c r="H2223" s="61"/>
      <c r="I2223" s="61"/>
    </row>
    <row r="2224" spans="8:9">
      <c r="H2224" s="61"/>
      <c r="I2224" s="61"/>
    </row>
    <row r="2225" spans="8:9">
      <c r="H2225" s="61"/>
      <c r="I2225" s="61"/>
    </row>
    <row r="2226" spans="8:9">
      <c r="H2226" s="61"/>
      <c r="I2226" s="61"/>
    </row>
    <row r="2227" spans="8:9">
      <c r="H2227" s="61"/>
      <c r="I2227" s="61"/>
    </row>
    <row r="2228" spans="8:9">
      <c r="H2228" s="61"/>
      <c r="I2228" s="61"/>
    </row>
    <row r="2229" spans="8:9">
      <c r="H2229" s="61"/>
      <c r="I2229" s="61"/>
    </row>
    <row r="2230" spans="8:9">
      <c r="H2230" s="61"/>
      <c r="I2230" s="61"/>
    </row>
    <row r="2231" spans="8:9">
      <c r="H2231" s="61"/>
      <c r="I2231" s="61"/>
    </row>
    <row r="2232" spans="8:9">
      <c r="H2232" s="61"/>
      <c r="I2232" s="61"/>
    </row>
    <row r="2233" spans="8:9">
      <c r="H2233" s="61"/>
      <c r="I2233" s="61"/>
    </row>
    <row r="2234" spans="8:9">
      <c r="H2234" s="61"/>
      <c r="I2234" s="61"/>
    </row>
    <row r="2235" spans="8:9">
      <c r="H2235" s="61"/>
      <c r="I2235" s="61"/>
    </row>
    <row r="2236" spans="8:9">
      <c r="H2236" s="61"/>
      <c r="I2236" s="61"/>
    </row>
    <row r="2237" spans="8:9">
      <c r="H2237" s="61"/>
      <c r="I2237" s="61"/>
    </row>
    <row r="2238" spans="8:9">
      <c r="H2238" s="61"/>
      <c r="I2238" s="61"/>
    </row>
    <row r="2239" spans="8:9">
      <c r="H2239" s="61"/>
      <c r="I2239" s="61"/>
    </row>
    <row r="2240" spans="8:9">
      <c r="H2240" s="61"/>
      <c r="I2240" s="61"/>
    </row>
    <row r="2241" spans="8:9">
      <c r="H2241" s="61"/>
      <c r="I2241" s="61"/>
    </row>
    <row r="2242" spans="8:9">
      <c r="H2242" s="61"/>
      <c r="I2242" s="61"/>
    </row>
    <row r="2243" spans="8:9">
      <c r="H2243" s="61"/>
      <c r="I2243" s="61"/>
    </row>
    <row r="2244" spans="8:9">
      <c r="H2244" s="61"/>
      <c r="I2244" s="61"/>
    </row>
    <row r="2245" spans="8:9">
      <c r="H2245" s="61"/>
      <c r="I2245" s="61"/>
    </row>
    <row r="2246" spans="8:9">
      <c r="H2246" s="61"/>
      <c r="I2246" s="61"/>
    </row>
    <row r="2247" spans="8:9">
      <c r="H2247" s="61"/>
      <c r="I2247" s="61"/>
    </row>
    <row r="2248" spans="8:9">
      <c r="H2248" s="61"/>
      <c r="I2248" s="61"/>
    </row>
    <row r="2249" spans="8:9">
      <c r="H2249" s="61"/>
      <c r="I2249" s="61"/>
    </row>
    <row r="2250" spans="8:9">
      <c r="H2250" s="61"/>
      <c r="I2250" s="61"/>
    </row>
    <row r="2251" spans="8:9">
      <c r="H2251" s="61"/>
      <c r="I2251" s="61"/>
    </row>
    <row r="2252" spans="8:9">
      <c r="H2252" s="61"/>
      <c r="I2252" s="61"/>
    </row>
    <row r="2253" spans="8:9">
      <c r="H2253" s="61"/>
      <c r="I2253" s="61"/>
    </row>
    <row r="2254" spans="8:9">
      <c r="H2254" s="61"/>
      <c r="I2254" s="61"/>
    </row>
    <row r="2255" spans="8:9">
      <c r="H2255" s="61"/>
      <c r="I2255" s="61"/>
    </row>
    <row r="2256" spans="8:9">
      <c r="H2256" s="61"/>
      <c r="I2256" s="61"/>
    </row>
    <row r="2257" spans="8:9">
      <c r="H2257" s="61"/>
      <c r="I2257" s="61"/>
    </row>
    <row r="2258" spans="8:9">
      <c r="H2258" s="61"/>
      <c r="I2258" s="61"/>
    </row>
    <row r="2259" spans="8:9">
      <c r="H2259" s="61"/>
      <c r="I2259" s="61"/>
    </row>
    <row r="2260" spans="8:9">
      <c r="H2260" s="61"/>
      <c r="I2260" s="61"/>
    </row>
    <row r="2261" spans="8:9">
      <c r="H2261" s="61"/>
      <c r="I2261" s="61"/>
    </row>
    <row r="2262" spans="8:9">
      <c r="H2262" s="61"/>
      <c r="I2262" s="61"/>
    </row>
    <row r="2263" spans="8:9">
      <c r="H2263" s="61"/>
      <c r="I2263" s="61"/>
    </row>
    <row r="2264" spans="8:9">
      <c r="H2264" s="61"/>
      <c r="I2264" s="61"/>
    </row>
    <row r="2265" spans="8:9">
      <c r="H2265" s="61"/>
      <c r="I2265" s="61"/>
    </row>
    <row r="2266" spans="8:9">
      <c r="H2266" s="61"/>
      <c r="I2266" s="61"/>
    </row>
    <row r="2267" spans="8:9">
      <c r="H2267" s="61"/>
      <c r="I2267" s="61"/>
    </row>
    <row r="2268" spans="8:9">
      <c r="H2268" s="61"/>
      <c r="I2268" s="61"/>
    </row>
    <row r="2269" spans="8:9">
      <c r="H2269" s="61"/>
      <c r="I2269" s="61"/>
    </row>
    <row r="2270" spans="8:9">
      <c r="H2270" s="61"/>
      <c r="I2270" s="61"/>
    </row>
    <row r="2271" spans="8:9">
      <c r="H2271" s="61"/>
      <c r="I2271" s="61"/>
    </row>
    <row r="2272" spans="8:9">
      <c r="H2272" s="61"/>
      <c r="I2272" s="61"/>
    </row>
    <row r="2273" spans="8:9">
      <c r="H2273" s="61"/>
      <c r="I2273" s="61"/>
    </row>
    <row r="2274" spans="8:9">
      <c r="H2274" s="61"/>
      <c r="I2274" s="61"/>
    </row>
    <row r="2275" spans="8:9">
      <c r="H2275" s="61"/>
      <c r="I2275" s="61"/>
    </row>
    <row r="2276" spans="8:9">
      <c r="H2276" s="61"/>
      <c r="I2276" s="61"/>
    </row>
    <row r="2277" spans="8:9">
      <c r="H2277" s="61"/>
      <c r="I2277" s="61"/>
    </row>
    <row r="2278" spans="8:9">
      <c r="H2278" s="61"/>
      <c r="I2278" s="61"/>
    </row>
    <row r="2279" spans="8:9">
      <c r="H2279" s="61"/>
      <c r="I2279" s="61"/>
    </row>
    <row r="2280" spans="8:9">
      <c r="H2280" s="61"/>
      <c r="I2280" s="61"/>
    </row>
    <row r="2281" spans="8:9">
      <c r="H2281" s="61"/>
      <c r="I2281" s="61"/>
    </row>
    <row r="2282" spans="8:9">
      <c r="H2282" s="61"/>
      <c r="I2282" s="61"/>
    </row>
    <row r="2283" spans="8:9">
      <c r="H2283" s="61"/>
      <c r="I2283" s="61"/>
    </row>
    <row r="2284" spans="8:9">
      <c r="H2284" s="61"/>
      <c r="I2284" s="61"/>
    </row>
    <row r="2285" spans="8:9">
      <c r="H2285" s="61"/>
      <c r="I2285" s="61"/>
    </row>
    <row r="2286" spans="8:9">
      <c r="H2286" s="61"/>
      <c r="I2286" s="61"/>
    </row>
    <row r="2287" spans="8:9">
      <c r="H2287" s="61"/>
      <c r="I2287" s="61"/>
    </row>
    <row r="2288" spans="8:9">
      <c r="H2288" s="61"/>
      <c r="I2288" s="61"/>
    </row>
    <row r="2289" spans="8:9">
      <c r="H2289" s="61"/>
      <c r="I2289" s="61"/>
    </row>
    <row r="2290" spans="8:9">
      <c r="H2290" s="61"/>
      <c r="I2290" s="61"/>
    </row>
    <row r="2291" spans="8:9">
      <c r="H2291" s="61"/>
      <c r="I2291" s="61"/>
    </row>
    <row r="2292" spans="8:9">
      <c r="H2292" s="61"/>
      <c r="I2292" s="61"/>
    </row>
    <row r="2293" spans="8:9">
      <c r="H2293" s="61"/>
      <c r="I2293" s="61"/>
    </row>
    <row r="2294" spans="8:9">
      <c r="H2294" s="61"/>
      <c r="I2294" s="61"/>
    </row>
    <row r="2295" spans="8:9">
      <c r="H2295" s="61"/>
      <c r="I2295" s="61"/>
    </row>
    <row r="2296" spans="8:9">
      <c r="H2296" s="61"/>
      <c r="I2296" s="61"/>
    </row>
    <row r="2297" spans="8:9">
      <c r="H2297" s="61"/>
      <c r="I2297" s="61"/>
    </row>
    <row r="2298" spans="8:9">
      <c r="H2298" s="61"/>
      <c r="I2298" s="61"/>
    </row>
    <row r="2299" spans="8:9">
      <c r="H2299" s="61"/>
      <c r="I2299" s="61"/>
    </row>
    <row r="2300" spans="8:9">
      <c r="H2300" s="61"/>
      <c r="I2300" s="61"/>
    </row>
    <row r="2301" spans="8:9">
      <c r="H2301" s="61"/>
      <c r="I2301" s="61"/>
    </row>
    <row r="2302" spans="8:9">
      <c r="H2302" s="61"/>
      <c r="I2302" s="61"/>
    </row>
    <row r="2303" spans="8:9">
      <c r="H2303" s="61"/>
      <c r="I2303" s="61"/>
    </row>
    <row r="2304" spans="8:9">
      <c r="H2304" s="61"/>
      <c r="I2304" s="61"/>
    </row>
    <row r="2305" spans="8:9">
      <c r="H2305" s="61"/>
      <c r="I2305" s="61"/>
    </row>
    <row r="2306" spans="8:9">
      <c r="H2306" s="61"/>
      <c r="I2306" s="61"/>
    </row>
    <row r="2307" spans="8:9">
      <c r="H2307" s="61"/>
      <c r="I2307" s="61"/>
    </row>
    <row r="2308" spans="8:9">
      <c r="H2308" s="61"/>
      <c r="I2308" s="61"/>
    </row>
    <row r="2309" spans="8:9">
      <c r="H2309" s="61"/>
      <c r="I2309" s="61"/>
    </row>
    <row r="2310" spans="8:9">
      <c r="H2310" s="61"/>
      <c r="I2310" s="61"/>
    </row>
    <row r="2311" spans="8:9">
      <c r="H2311" s="61"/>
      <c r="I2311" s="61"/>
    </row>
    <row r="2312" spans="8:9">
      <c r="H2312" s="61"/>
      <c r="I2312" s="61"/>
    </row>
    <row r="2313" spans="8:9">
      <c r="H2313" s="61"/>
      <c r="I2313" s="61"/>
    </row>
    <row r="2314" spans="8:9">
      <c r="H2314" s="61"/>
      <c r="I2314" s="61"/>
    </row>
    <row r="2315" spans="8:9">
      <c r="H2315" s="61"/>
      <c r="I2315" s="61"/>
    </row>
    <row r="2316" spans="8:9">
      <c r="H2316" s="61"/>
      <c r="I2316" s="61"/>
    </row>
    <row r="2317" spans="8:9">
      <c r="H2317" s="61"/>
      <c r="I2317" s="61"/>
    </row>
    <row r="2318" spans="8:9">
      <c r="H2318" s="61"/>
      <c r="I2318" s="61"/>
    </row>
    <row r="2319" spans="8:9">
      <c r="H2319" s="61"/>
      <c r="I2319" s="61"/>
    </row>
    <row r="2320" spans="8:9">
      <c r="H2320" s="61"/>
      <c r="I2320" s="61"/>
    </row>
    <row r="2321" spans="8:9">
      <c r="H2321" s="61"/>
      <c r="I2321" s="61"/>
    </row>
    <row r="2322" spans="8:9">
      <c r="H2322" s="61"/>
      <c r="I2322" s="61"/>
    </row>
    <row r="2323" spans="8:9">
      <c r="H2323" s="61"/>
      <c r="I2323" s="61"/>
    </row>
    <row r="2324" spans="8:9">
      <c r="H2324" s="61"/>
      <c r="I2324" s="61"/>
    </row>
    <row r="2325" spans="8:9">
      <c r="H2325" s="61"/>
      <c r="I2325" s="61"/>
    </row>
    <row r="2326" spans="8:9">
      <c r="H2326" s="61"/>
      <c r="I2326" s="61"/>
    </row>
    <row r="2327" spans="8:9">
      <c r="H2327" s="61"/>
      <c r="I2327" s="61"/>
    </row>
    <row r="2328" spans="8:9">
      <c r="H2328" s="61"/>
      <c r="I2328" s="61"/>
    </row>
    <row r="2329" spans="8:9">
      <c r="H2329" s="61"/>
      <c r="I2329" s="61"/>
    </row>
    <row r="2330" spans="8:9">
      <c r="H2330" s="61"/>
      <c r="I2330" s="61"/>
    </row>
    <row r="2331" spans="8:9">
      <c r="H2331" s="61"/>
      <c r="I2331" s="61"/>
    </row>
    <row r="2332" spans="8:9">
      <c r="H2332" s="61"/>
      <c r="I2332" s="61"/>
    </row>
    <row r="2333" spans="8:9">
      <c r="H2333" s="61"/>
      <c r="I2333" s="61"/>
    </row>
    <row r="2334" spans="8:9">
      <c r="H2334" s="61"/>
      <c r="I2334" s="61"/>
    </row>
    <row r="2335" spans="8:9">
      <c r="H2335" s="61"/>
      <c r="I2335" s="61"/>
    </row>
    <row r="2336" spans="8:9">
      <c r="H2336" s="61"/>
      <c r="I2336" s="61"/>
    </row>
    <row r="2337" spans="8:9">
      <c r="H2337" s="61"/>
      <c r="I2337" s="61"/>
    </row>
    <row r="2338" spans="8:9">
      <c r="H2338" s="61"/>
      <c r="I2338" s="61"/>
    </row>
    <row r="2339" spans="8:9">
      <c r="H2339" s="61"/>
      <c r="I2339" s="61"/>
    </row>
    <row r="2340" spans="8:9">
      <c r="H2340" s="61"/>
      <c r="I2340" s="61"/>
    </row>
    <row r="2341" spans="8:9">
      <c r="H2341" s="61"/>
      <c r="I2341" s="61"/>
    </row>
    <row r="2342" spans="8:9">
      <c r="H2342" s="61"/>
      <c r="I2342" s="61"/>
    </row>
    <row r="2343" spans="8:9">
      <c r="H2343" s="61"/>
      <c r="I2343" s="61"/>
    </row>
    <row r="2344" spans="8:9">
      <c r="H2344" s="61"/>
      <c r="I2344" s="61"/>
    </row>
    <row r="2345" spans="8:9">
      <c r="H2345" s="61"/>
      <c r="I2345" s="61"/>
    </row>
    <row r="2346" spans="8:9">
      <c r="H2346" s="61"/>
      <c r="I2346" s="61"/>
    </row>
    <row r="2347" spans="8:9">
      <c r="H2347" s="61"/>
      <c r="I2347" s="61"/>
    </row>
    <row r="2348" spans="8:9">
      <c r="H2348" s="61"/>
      <c r="I2348" s="61"/>
    </row>
    <row r="2349" spans="8:9">
      <c r="H2349" s="61"/>
      <c r="I2349" s="61"/>
    </row>
    <row r="2350" spans="8:9">
      <c r="H2350" s="61"/>
      <c r="I2350" s="61"/>
    </row>
    <row r="2351" spans="8:9">
      <c r="H2351" s="61"/>
      <c r="I2351" s="61"/>
    </row>
    <row r="2352" spans="8:9">
      <c r="H2352" s="61"/>
      <c r="I2352" s="61"/>
    </row>
    <row r="2353" spans="8:9">
      <c r="H2353" s="61"/>
      <c r="I2353" s="61"/>
    </row>
    <row r="2354" spans="8:9">
      <c r="H2354" s="61"/>
      <c r="I2354" s="61"/>
    </row>
    <row r="2355" spans="8:9">
      <c r="H2355" s="61"/>
      <c r="I2355" s="61"/>
    </row>
    <row r="2356" spans="8:9">
      <c r="H2356" s="61"/>
      <c r="I2356" s="61"/>
    </row>
    <row r="2357" spans="8:9">
      <c r="H2357" s="61"/>
      <c r="I2357" s="61"/>
    </row>
    <row r="2358" spans="8:9">
      <c r="H2358" s="61"/>
      <c r="I2358" s="61"/>
    </row>
    <row r="2359" spans="8:9">
      <c r="H2359" s="61"/>
      <c r="I2359" s="61"/>
    </row>
    <row r="2360" spans="8:9">
      <c r="H2360" s="61"/>
      <c r="I2360" s="61"/>
    </row>
    <row r="2361" spans="8:9">
      <c r="H2361" s="61"/>
      <c r="I2361" s="61"/>
    </row>
    <row r="2362" spans="8:9">
      <c r="H2362" s="61"/>
      <c r="I2362" s="61"/>
    </row>
    <row r="2363" spans="8:9">
      <c r="H2363" s="61"/>
      <c r="I2363" s="61"/>
    </row>
    <row r="2364" spans="8:9">
      <c r="H2364" s="61"/>
      <c r="I2364" s="61"/>
    </row>
    <row r="2365" spans="8:9">
      <c r="H2365" s="61"/>
      <c r="I2365" s="61"/>
    </row>
    <row r="2366" spans="8:9">
      <c r="H2366" s="61"/>
      <c r="I2366" s="61"/>
    </row>
    <row r="2367" spans="8:9">
      <c r="H2367" s="61"/>
      <c r="I2367" s="61"/>
    </row>
    <row r="2368" spans="8:9">
      <c r="H2368" s="61"/>
      <c r="I2368" s="61"/>
    </row>
    <row r="2369" spans="8:9">
      <c r="H2369" s="61"/>
      <c r="I2369" s="61"/>
    </row>
    <row r="2370" spans="8:9">
      <c r="H2370" s="61"/>
      <c r="I2370" s="61"/>
    </row>
    <row r="2371" spans="8:9">
      <c r="H2371" s="61"/>
      <c r="I2371" s="61"/>
    </row>
    <row r="2372" spans="8:9">
      <c r="H2372" s="61"/>
      <c r="I2372" s="61"/>
    </row>
    <row r="2373" spans="8:9">
      <c r="H2373" s="61"/>
      <c r="I2373" s="61"/>
    </row>
    <row r="2374" spans="8:9">
      <c r="H2374" s="61"/>
      <c r="I2374" s="61"/>
    </row>
    <row r="2375" spans="8:9">
      <c r="H2375" s="61"/>
      <c r="I2375" s="61"/>
    </row>
    <row r="2376" spans="8:9">
      <c r="H2376" s="61"/>
      <c r="I2376" s="61"/>
    </row>
    <row r="2377" spans="8:9">
      <c r="H2377" s="61"/>
      <c r="I2377" s="61"/>
    </row>
    <row r="2378" spans="8:9">
      <c r="H2378" s="61"/>
      <c r="I2378" s="61"/>
    </row>
    <row r="2379" spans="8:9">
      <c r="H2379" s="61"/>
      <c r="I2379" s="61"/>
    </row>
    <row r="2380" spans="8:9">
      <c r="H2380" s="61"/>
      <c r="I2380" s="61"/>
    </row>
    <row r="2381" spans="8:9">
      <c r="H2381" s="61"/>
      <c r="I2381" s="61"/>
    </row>
    <row r="2382" spans="8:9">
      <c r="H2382" s="61"/>
      <c r="I2382" s="61"/>
    </row>
    <row r="2383" spans="8:9">
      <c r="H2383" s="61"/>
      <c r="I2383" s="61"/>
    </row>
    <row r="2384" spans="8:9">
      <c r="H2384" s="61"/>
      <c r="I2384" s="61"/>
    </row>
    <row r="2385" spans="8:9">
      <c r="H2385" s="61"/>
      <c r="I2385" s="61"/>
    </row>
    <row r="2386" spans="8:9">
      <c r="H2386" s="61"/>
      <c r="I2386" s="61"/>
    </row>
    <row r="2387" spans="8:9">
      <c r="H2387" s="61"/>
      <c r="I2387" s="61"/>
    </row>
    <row r="2388" spans="8:9">
      <c r="H2388" s="61"/>
      <c r="I2388" s="61"/>
    </row>
    <row r="2389" spans="8:9">
      <c r="H2389" s="61"/>
      <c r="I2389" s="61"/>
    </row>
    <row r="2390" spans="8:9">
      <c r="H2390" s="61"/>
      <c r="I2390" s="61"/>
    </row>
    <row r="2391" spans="8:9">
      <c r="H2391" s="61"/>
      <c r="I2391" s="61"/>
    </row>
    <row r="2392" spans="8:9">
      <c r="H2392" s="61"/>
      <c r="I2392" s="61"/>
    </row>
    <row r="2393" spans="8:9">
      <c r="H2393" s="61"/>
      <c r="I2393" s="61"/>
    </row>
    <row r="2394" spans="8:9">
      <c r="H2394" s="61"/>
      <c r="I2394" s="61"/>
    </row>
    <row r="2395" spans="8:9">
      <c r="H2395" s="61"/>
      <c r="I2395" s="61"/>
    </row>
    <row r="2396" spans="8:9">
      <c r="H2396" s="61"/>
      <c r="I2396" s="61"/>
    </row>
    <row r="2397" spans="8:9">
      <c r="H2397" s="61"/>
      <c r="I2397" s="61"/>
    </row>
    <row r="2398" spans="8:9">
      <c r="H2398" s="61"/>
      <c r="I2398" s="61"/>
    </row>
    <row r="2399" spans="8:9">
      <c r="H2399" s="61"/>
      <c r="I2399" s="61"/>
    </row>
    <row r="2400" spans="8:9">
      <c r="H2400" s="61"/>
      <c r="I2400" s="61"/>
    </row>
    <row r="2401" spans="8:9">
      <c r="H2401" s="61"/>
      <c r="I2401" s="61"/>
    </row>
    <row r="2402" spans="8:9">
      <c r="H2402" s="61"/>
      <c r="I2402" s="61"/>
    </row>
    <row r="2403" spans="8:9">
      <c r="H2403" s="61"/>
      <c r="I2403" s="61"/>
    </row>
    <row r="2404" spans="8:9">
      <c r="H2404" s="61"/>
      <c r="I2404" s="61"/>
    </row>
    <row r="2405" spans="8:9">
      <c r="H2405" s="61"/>
      <c r="I2405" s="61"/>
    </row>
    <row r="2406" spans="8:9">
      <c r="H2406" s="61"/>
      <c r="I2406" s="61"/>
    </row>
    <row r="2407" spans="8:9">
      <c r="H2407" s="61"/>
      <c r="I2407" s="61"/>
    </row>
    <row r="2408" spans="8:9">
      <c r="H2408" s="61"/>
      <c r="I2408" s="61"/>
    </row>
    <row r="2409" spans="8:9">
      <c r="H2409" s="61"/>
      <c r="I2409" s="61"/>
    </row>
    <row r="2410" spans="8:9">
      <c r="H2410" s="61"/>
      <c r="I2410" s="61"/>
    </row>
    <row r="2411" spans="8:9">
      <c r="H2411" s="61"/>
      <c r="I2411" s="61"/>
    </row>
    <row r="2412" spans="8:9">
      <c r="H2412" s="61"/>
      <c r="I2412" s="61"/>
    </row>
    <row r="2413" spans="8:9">
      <c r="H2413" s="61"/>
      <c r="I2413" s="61"/>
    </row>
    <row r="2414" spans="8:9">
      <c r="H2414" s="61"/>
      <c r="I2414" s="61"/>
    </row>
    <row r="2415" spans="8:9">
      <c r="H2415" s="61"/>
      <c r="I2415" s="61"/>
    </row>
    <row r="2416" spans="8:9">
      <c r="H2416" s="61"/>
      <c r="I2416" s="61"/>
    </row>
    <row r="2417" spans="8:9">
      <c r="H2417" s="61"/>
      <c r="I2417" s="61"/>
    </row>
    <row r="2418" spans="8:9">
      <c r="H2418" s="61"/>
      <c r="I2418" s="61"/>
    </row>
    <row r="2419" spans="8:9">
      <c r="H2419" s="61"/>
      <c r="I2419" s="61"/>
    </row>
    <row r="2420" spans="8:9">
      <c r="H2420" s="61"/>
      <c r="I2420" s="61"/>
    </row>
    <row r="2421" spans="8:9">
      <c r="H2421" s="61"/>
      <c r="I2421" s="61"/>
    </row>
    <row r="2422" spans="8:9">
      <c r="H2422" s="61"/>
      <c r="I2422" s="61"/>
    </row>
    <row r="2423" spans="8:9">
      <c r="H2423" s="61"/>
      <c r="I2423" s="61"/>
    </row>
    <row r="2424" spans="8:9">
      <c r="H2424" s="61"/>
      <c r="I2424" s="61"/>
    </row>
    <row r="2425" spans="8:9">
      <c r="H2425" s="61"/>
      <c r="I2425" s="61"/>
    </row>
    <row r="2426" spans="8:9">
      <c r="H2426" s="61"/>
      <c r="I2426" s="61"/>
    </row>
    <row r="2427" spans="8:9">
      <c r="H2427" s="61"/>
      <c r="I2427" s="61"/>
    </row>
    <row r="2428" spans="8:9">
      <c r="H2428" s="61"/>
      <c r="I2428" s="61"/>
    </row>
    <row r="2429" spans="8:9">
      <c r="H2429" s="61"/>
      <c r="I2429" s="61"/>
    </row>
    <row r="2430" spans="8:9">
      <c r="H2430" s="61"/>
      <c r="I2430" s="61"/>
    </row>
    <row r="2431" spans="8:9">
      <c r="H2431" s="61"/>
      <c r="I2431" s="61"/>
    </row>
    <row r="2432" spans="8:9">
      <c r="H2432" s="61"/>
      <c r="I2432" s="61"/>
    </row>
    <row r="2433" spans="8:9">
      <c r="H2433" s="61"/>
      <c r="I2433" s="61"/>
    </row>
    <row r="2434" spans="8:9">
      <c r="H2434" s="61"/>
      <c r="I2434" s="61"/>
    </row>
    <row r="2435" spans="8:9">
      <c r="H2435" s="61"/>
      <c r="I2435" s="61"/>
    </row>
    <row r="2436" spans="8:9">
      <c r="H2436" s="61"/>
      <c r="I2436" s="61"/>
    </row>
    <row r="2437" spans="8:9">
      <c r="H2437" s="61"/>
      <c r="I2437" s="61"/>
    </row>
    <row r="2438" spans="8:9">
      <c r="H2438" s="61"/>
      <c r="I2438" s="61"/>
    </row>
    <row r="2439" spans="8:9">
      <c r="H2439" s="61"/>
      <c r="I2439" s="61"/>
    </row>
    <row r="2440" spans="8:9">
      <c r="H2440" s="61"/>
      <c r="I2440" s="61"/>
    </row>
    <row r="2441" spans="8:9">
      <c r="H2441" s="61"/>
      <c r="I2441" s="61"/>
    </row>
    <row r="2442" spans="8:9">
      <c r="H2442" s="61"/>
      <c r="I2442" s="61"/>
    </row>
    <row r="2443" spans="8:9">
      <c r="H2443" s="61"/>
      <c r="I2443" s="61"/>
    </row>
    <row r="2444" spans="8:9">
      <c r="H2444" s="61"/>
      <c r="I2444" s="61"/>
    </row>
    <row r="2445" spans="8:9">
      <c r="H2445" s="61"/>
      <c r="I2445" s="61"/>
    </row>
    <row r="2446" spans="8:9">
      <c r="H2446" s="61"/>
      <c r="I2446" s="61"/>
    </row>
    <row r="2447" spans="8:9">
      <c r="H2447" s="61"/>
      <c r="I2447" s="61"/>
    </row>
    <row r="2448" spans="8:9">
      <c r="H2448" s="61"/>
      <c r="I2448" s="61"/>
    </row>
    <row r="2449" spans="8:9">
      <c r="H2449" s="61"/>
      <c r="I2449" s="61"/>
    </row>
    <row r="2450" spans="8:9">
      <c r="H2450" s="61"/>
      <c r="I2450" s="61"/>
    </row>
    <row r="2451" spans="8:9">
      <c r="H2451" s="61"/>
      <c r="I2451" s="61"/>
    </row>
    <row r="2452" spans="8:9">
      <c r="H2452" s="61"/>
      <c r="I2452" s="61"/>
    </row>
    <row r="2453" spans="8:9">
      <c r="H2453" s="61"/>
      <c r="I2453" s="61"/>
    </row>
    <row r="2454" spans="8:9">
      <c r="H2454" s="61"/>
      <c r="I2454" s="61"/>
    </row>
    <row r="2455" spans="8:9">
      <c r="H2455" s="61"/>
      <c r="I2455" s="61"/>
    </row>
    <row r="2456" spans="8:9">
      <c r="H2456" s="61"/>
      <c r="I2456" s="61"/>
    </row>
    <row r="2457" spans="8:9">
      <c r="H2457" s="61"/>
      <c r="I2457" s="61"/>
    </row>
    <row r="2458" spans="8:9">
      <c r="H2458" s="61"/>
      <c r="I2458" s="61"/>
    </row>
    <row r="2459" spans="8:9">
      <c r="H2459" s="61"/>
      <c r="I2459" s="61"/>
    </row>
    <row r="2460" spans="8:9">
      <c r="H2460" s="61"/>
      <c r="I2460" s="61"/>
    </row>
    <row r="2461" spans="8:9">
      <c r="H2461" s="61"/>
      <c r="I2461" s="61"/>
    </row>
    <row r="2462" spans="8:9">
      <c r="H2462" s="61"/>
      <c r="I2462" s="61"/>
    </row>
    <row r="2463" spans="8:9">
      <c r="H2463" s="61"/>
      <c r="I2463" s="61"/>
    </row>
    <row r="2464" spans="8:9">
      <c r="H2464" s="61"/>
      <c r="I2464" s="61"/>
    </row>
    <row r="2465" spans="8:9">
      <c r="H2465" s="61"/>
      <c r="I2465" s="61"/>
    </row>
    <row r="2466" spans="8:9">
      <c r="H2466" s="61"/>
      <c r="I2466" s="61"/>
    </row>
    <row r="2467" spans="8:9">
      <c r="H2467" s="61"/>
      <c r="I2467" s="61"/>
    </row>
    <row r="2468" spans="8:9">
      <c r="H2468" s="61"/>
      <c r="I2468" s="61"/>
    </row>
    <row r="2469" spans="8:9">
      <c r="H2469" s="61"/>
      <c r="I2469" s="61"/>
    </row>
    <row r="2470" spans="8:9">
      <c r="H2470" s="61"/>
      <c r="I2470" s="61"/>
    </row>
    <row r="2471" spans="8:9">
      <c r="H2471" s="61"/>
      <c r="I2471" s="61"/>
    </row>
    <row r="2472" spans="8:9">
      <c r="H2472" s="61"/>
      <c r="I2472" s="61"/>
    </row>
    <row r="2473" spans="8:9">
      <c r="H2473" s="61"/>
      <c r="I2473" s="61"/>
    </row>
    <row r="2474" spans="8:9">
      <c r="H2474" s="61"/>
      <c r="I2474" s="61"/>
    </row>
    <row r="2475" spans="8:9">
      <c r="H2475" s="61"/>
      <c r="I2475" s="61"/>
    </row>
    <row r="2476" spans="8:9">
      <c r="H2476" s="61"/>
      <c r="I2476" s="61"/>
    </row>
    <row r="2477" spans="8:9">
      <c r="H2477" s="61"/>
      <c r="I2477" s="61"/>
    </row>
    <row r="2478" spans="8:9">
      <c r="H2478" s="61"/>
      <c r="I2478" s="61"/>
    </row>
    <row r="2479" spans="8:9">
      <c r="H2479" s="61"/>
      <c r="I2479" s="61"/>
    </row>
    <row r="2480" spans="8:9">
      <c r="H2480" s="61"/>
      <c r="I2480" s="61"/>
    </row>
    <row r="2481" spans="8:9">
      <c r="H2481" s="61"/>
      <c r="I2481" s="61"/>
    </row>
    <row r="2482" spans="8:9">
      <c r="H2482" s="61"/>
      <c r="I2482" s="61"/>
    </row>
    <row r="2483" spans="8:9">
      <c r="H2483" s="61"/>
      <c r="I2483" s="61"/>
    </row>
    <row r="2484" spans="8:9">
      <c r="H2484" s="61"/>
      <c r="I2484" s="61"/>
    </row>
    <row r="2485" spans="8:9">
      <c r="H2485" s="61"/>
      <c r="I2485" s="61"/>
    </row>
    <row r="2486" spans="8:9">
      <c r="H2486" s="61"/>
      <c r="I2486" s="61"/>
    </row>
    <row r="2487" spans="8:9">
      <c r="H2487" s="61"/>
      <c r="I2487" s="61"/>
    </row>
    <row r="2488" spans="8:9">
      <c r="H2488" s="61"/>
      <c r="I2488" s="61"/>
    </row>
    <row r="2489" spans="8:9">
      <c r="H2489" s="61"/>
      <c r="I2489" s="61"/>
    </row>
    <row r="2490" spans="8:9">
      <c r="H2490" s="61"/>
      <c r="I2490" s="61"/>
    </row>
    <row r="2491" spans="8:9">
      <c r="H2491" s="61"/>
      <c r="I2491" s="61"/>
    </row>
    <row r="2492" spans="8:9">
      <c r="H2492" s="61"/>
      <c r="I2492" s="61"/>
    </row>
    <row r="2493" spans="8:9">
      <c r="H2493" s="61"/>
      <c r="I2493" s="61"/>
    </row>
    <row r="2494" spans="8:9">
      <c r="H2494" s="61"/>
      <c r="I2494" s="61"/>
    </row>
    <row r="2495" spans="8:9">
      <c r="H2495" s="61"/>
      <c r="I2495" s="61"/>
    </row>
    <row r="2496" spans="8:9">
      <c r="H2496" s="61"/>
      <c r="I2496" s="61"/>
    </row>
    <row r="2497" spans="8:9">
      <c r="H2497" s="61"/>
      <c r="I2497" s="61"/>
    </row>
    <row r="2498" spans="8:9">
      <c r="H2498" s="61"/>
      <c r="I2498" s="61"/>
    </row>
    <row r="2499" spans="8:9">
      <c r="H2499" s="61"/>
      <c r="I2499" s="61"/>
    </row>
    <row r="2500" spans="8:9">
      <c r="H2500" s="61"/>
      <c r="I2500" s="61"/>
    </row>
    <row r="2501" spans="8:9">
      <c r="H2501" s="61"/>
      <c r="I2501" s="61"/>
    </row>
    <row r="2502" spans="8:9">
      <c r="H2502" s="61"/>
      <c r="I2502" s="61"/>
    </row>
    <row r="2503" spans="8:9">
      <c r="H2503" s="61"/>
      <c r="I2503" s="61"/>
    </row>
    <row r="2504" spans="8:9">
      <c r="H2504" s="61"/>
      <c r="I2504" s="61"/>
    </row>
    <row r="2505" spans="8:9">
      <c r="H2505" s="61"/>
      <c r="I2505" s="61"/>
    </row>
    <row r="2506" spans="8:9">
      <c r="H2506" s="61"/>
      <c r="I2506" s="61"/>
    </row>
    <row r="2507" spans="8:9">
      <c r="H2507" s="61"/>
      <c r="I2507" s="61"/>
    </row>
    <row r="2508" spans="8:9">
      <c r="H2508" s="61"/>
      <c r="I2508" s="61"/>
    </row>
    <row r="2509" spans="8:9">
      <c r="H2509" s="61"/>
      <c r="I2509" s="61"/>
    </row>
    <row r="2510" spans="8:9">
      <c r="H2510" s="61"/>
      <c r="I2510" s="61"/>
    </row>
    <row r="2511" spans="8:9">
      <c r="H2511" s="61"/>
      <c r="I2511" s="61"/>
    </row>
    <row r="2512" spans="8:9">
      <c r="H2512" s="61"/>
      <c r="I2512" s="61"/>
    </row>
    <row r="2513" spans="8:9">
      <c r="H2513" s="61"/>
      <c r="I2513" s="61"/>
    </row>
    <row r="2514" spans="8:9">
      <c r="H2514" s="61"/>
      <c r="I2514" s="61"/>
    </row>
    <row r="2515" spans="8:9">
      <c r="H2515" s="61"/>
      <c r="I2515" s="61"/>
    </row>
    <row r="2516" spans="8:9">
      <c r="H2516" s="61"/>
      <c r="I2516" s="61"/>
    </row>
    <row r="2517" spans="8:9">
      <c r="H2517" s="61"/>
      <c r="I2517" s="61"/>
    </row>
    <row r="2518" spans="8:9">
      <c r="H2518" s="61"/>
      <c r="I2518" s="61"/>
    </row>
    <row r="2519" spans="8:9">
      <c r="H2519" s="61"/>
      <c r="I2519" s="61"/>
    </row>
    <row r="2520" spans="8:9">
      <c r="H2520" s="61"/>
      <c r="I2520" s="61"/>
    </row>
    <row r="2521" spans="8:9">
      <c r="H2521" s="61"/>
      <c r="I2521" s="61"/>
    </row>
    <row r="2522" spans="8:9">
      <c r="H2522" s="61"/>
      <c r="I2522" s="61"/>
    </row>
    <row r="2523" spans="8:9">
      <c r="H2523" s="61"/>
      <c r="I2523" s="61"/>
    </row>
    <row r="2524" spans="8:9">
      <c r="H2524" s="61"/>
      <c r="I2524" s="61"/>
    </row>
    <row r="2525" spans="8:9">
      <c r="H2525" s="61"/>
      <c r="I2525" s="61"/>
    </row>
    <row r="2526" spans="8:9">
      <c r="H2526" s="61"/>
      <c r="I2526" s="61"/>
    </row>
    <row r="2527" spans="8:9">
      <c r="H2527" s="61"/>
      <c r="I2527" s="61"/>
    </row>
    <row r="2528" spans="8:9">
      <c r="H2528" s="61"/>
      <c r="I2528" s="61"/>
    </row>
    <row r="2529" spans="8:9">
      <c r="H2529" s="61"/>
      <c r="I2529" s="61"/>
    </row>
    <row r="2530" spans="8:9">
      <c r="H2530" s="61"/>
      <c r="I2530" s="61"/>
    </row>
    <row r="2531" spans="8:9">
      <c r="H2531" s="61"/>
      <c r="I2531" s="61"/>
    </row>
    <row r="2532" spans="8:9">
      <c r="H2532" s="61"/>
      <c r="I2532" s="61"/>
    </row>
    <row r="2533" spans="8:9">
      <c r="H2533" s="61"/>
      <c r="I2533" s="61"/>
    </row>
    <row r="2534" spans="8:9">
      <c r="H2534" s="61"/>
      <c r="I2534" s="61"/>
    </row>
    <row r="2535" spans="8:9">
      <c r="H2535" s="61"/>
      <c r="I2535" s="61"/>
    </row>
    <row r="2536" spans="8:9">
      <c r="H2536" s="61"/>
      <c r="I2536" s="61"/>
    </row>
    <row r="2537" spans="8:9">
      <c r="H2537" s="61"/>
      <c r="I2537" s="61"/>
    </row>
    <row r="2538" spans="8:9">
      <c r="H2538" s="61"/>
      <c r="I2538" s="61"/>
    </row>
    <row r="2539" spans="8:9">
      <c r="H2539" s="61"/>
      <c r="I2539" s="61"/>
    </row>
    <row r="2540" spans="8:9">
      <c r="H2540" s="61"/>
      <c r="I2540" s="61"/>
    </row>
    <row r="2541" spans="8:9">
      <c r="H2541" s="61"/>
      <c r="I2541" s="61"/>
    </row>
    <row r="2542" spans="8:9">
      <c r="H2542" s="61"/>
      <c r="I2542" s="61"/>
    </row>
    <row r="2543" spans="8:9">
      <c r="H2543" s="61"/>
      <c r="I2543" s="61"/>
    </row>
    <row r="2544" spans="8:9">
      <c r="H2544" s="61"/>
      <c r="I2544" s="61"/>
    </row>
    <row r="2545" spans="8:9">
      <c r="H2545" s="61"/>
      <c r="I2545" s="61"/>
    </row>
    <row r="2546" spans="8:9">
      <c r="H2546" s="61"/>
      <c r="I2546" s="61"/>
    </row>
    <row r="2547" spans="8:9">
      <c r="H2547" s="61"/>
      <c r="I2547" s="61"/>
    </row>
    <row r="2548" spans="8:9">
      <c r="H2548" s="61"/>
      <c r="I2548" s="61"/>
    </row>
    <row r="2549" spans="8:9">
      <c r="H2549" s="61"/>
      <c r="I2549" s="61"/>
    </row>
    <row r="2550" spans="8:9">
      <c r="H2550" s="61"/>
      <c r="I2550" s="61"/>
    </row>
    <row r="2551" spans="8:9">
      <c r="H2551" s="61"/>
      <c r="I2551" s="61"/>
    </row>
    <row r="2552" spans="8:9">
      <c r="H2552" s="61"/>
      <c r="I2552" s="61"/>
    </row>
    <row r="2553" spans="8:9">
      <c r="H2553" s="61"/>
      <c r="I2553" s="61"/>
    </row>
    <row r="2554" spans="8:9">
      <c r="H2554" s="61"/>
      <c r="I2554" s="61"/>
    </row>
    <row r="2555" spans="8:9">
      <c r="H2555" s="61"/>
      <c r="I2555" s="61"/>
    </row>
    <row r="2556" spans="8:9">
      <c r="H2556" s="61"/>
      <c r="I2556" s="61"/>
    </row>
    <row r="2557" spans="8:9">
      <c r="H2557" s="61"/>
      <c r="I2557" s="61"/>
    </row>
    <row r="2558" spans="8:9">
      <c r="H2558" s="61"/>
      <c r="I2558" s="61"/>
    </row>
    <row r="2559" spans="8:9">
      <c r="H2559" s="61"/>
      <c r="I2559" s="61"/>
    </row>
    <row r="2560" spans="8:9">
      <c r="H2560" s="61"/>
      <c r="I2560" s="61"/>
    </row>
    <row r="2561" spans="8:9">
      <c r="H2561" s="61"/>
      <c r="I2561" s="61"/>
    </row>
    <row r="2562" spans="8:9">
      <c r="H2562" s="61"/>
      <c r="I2562" s="61"/>
    </row>
    <row r="2563" spans="8:9">
      <c r="H2563" s="61"/>
      <c r="I2563" s="61"/>
    </row>
    <row r="2564" spans="8:9">
      <c r="H2564" s="61"/>
      <c r="I2564" s="61"/>
    </row>
    <row r="2565" spans="8:9">
      <c r="H2565" s="61"/>
      <c r="I2565" s="61"/>
    </row>
    <row r="2566" spans="8:9">
      <c r="H2566" s="61"/>
      <c r="I2566" s="61"/>
    </row>
    <row r="2567" spans="8:9">
      <c r="H2567" s="61"/>
      <c r="I2567" s="61"/>
    </row>
    <row r="2568" spans="8:9">
      <c r="H2568" s="61"/>
      <c r="I2568" s="61"/>
    </row>
    <row r="2569" spans="8:9">
      <c r="H2569" s="61"/>
      <c r="I2569" s="61"/>
    </row>
    <row r="2570" spans="8:9">
      <c r="H2570" s="61"/>
      <c r="I2570" s="61"/>
    </row>
    <row r="2571" spans="8:9">
      <c r="H2571" s="61"/>
      <c r="I2571" s="61"/>
    </row>
    <row r="2572" spans="8:9">
      <c r="H2572" s="61"/>
      <c r="I2572" s="61"/>
    </row>
    <row r="2573" spans="8:9">
      <c r="H2573" s="61"/>
      <c r="I2573" s="61"/>
    </row>
    <row r="2574" spans="8:9">
      <c r="H2574" s="61"/>
      <c r="I2574" s="61"/>
    </row>
    <row r="2575" spans="8:9">
      <c r="H2575" s="61"/>
      <c r="I2575" s="61"/>
    </row>
    <row r="2576" spans="8:9">
      <c r="H2576" s="61"/>
      <c r="I2576" s="61"/>
    </row>
    <row r="2577" spans="8:9">
      <c r="H2577" s="61"/>
      <c r="I2577" s="61"/>
    </row>
    <row r="2578" spans="8:9">
      <c r="H2578" s="61"/>
      <c r="I2578" s="61"/>
    </row>
    <row r="2579" spans="8:9">
      <c r="H2579" s="61"/>
      <c r="I2579" s="61"/>
    </row>
    <row r="2580" spans="8:9">
      <c r="H2580" s="61"/>
      <c r="I2580" s="61"/>
    </row>
    <row r="2581" spans="8:9">
      <c r="H2581" s="61"/>
      <c r="I2581" s="61"/>
    </row>
    <row r="2582" spans="8:9">
      <c r="H2582" s="61"/>
      <c r="I2582" s="61"/>
    </row>
    <row r="2583" spans="8:9">
      <c r="H2583" s="61"/>
      <c r="I2583" s="61"/>
    </row>
    <row r="2584" spans="8:9">
      <c r="H2584" s="61"/>
      <c r="I2584" s="61"/>
    </row>
    <row r="2585" spans="8:9">
      <c r="H2585" s="61"/>
      <c r="I2585" s="61"/>
    </row>
    <row r="2586" spans="8:9">
      <c r="H2586" s="61"/>
      <c r="I2586" s="61"/>
    </row>
    <row r="2587" spans="8:9">
      <c r="H2587" s="61"/>
      <c r="I2587" s="61"/>
    </row>
    <row r="2588" spans="8:9">
      <c r="H2588" s="61"/>
      <c r="I2588" s="61"/>
    </row>
    <row r="2589" spans="8:9">
      <c r="H2589" s="61"/>
      <c r="I2589" s="61"/>
    </row>
    <row r="2590" spans="8:9">
      <c r="H2590" s="61"/>
      <c r="I2590" s="61"/>
    </row>
    <row r="2591" spans="8:9">
      <c r="H2591" s="61"/>
      <c r="I2591" s="61"/>
    </row>
    <row r="2592" spans="8:9">
      <c r="H2592" s="61"/>
      <c r="I2592" s="61"/>
    </row>
    <row r="2593" spans="8:9">
      <c r="H2593" s="61"/>
      <c r="I2593" s="61"/>
    </row>
    <row r="2594" spans="8:9">
      <c r="H2594" s="61"/>
      <c r="I2594" s="61"/>
    </row>
    <row r="2595" spans="8:9">
      <c r="H2595" s="61"/>
      <c r="I2595" s="61"/>
    </row>
    <row r="2596" spans="8:9">
      <c r="H2596" s="61"/>
      <c r="I2596" s="61"/>
    </row>
    <row r="2597" spans="8:9">
      <c r="H2597" s="61"/>
      <c r="I2597" s="61"/>
    </row>
    <row r="2598" spans="8:9">
      <c r="H2598" s="61"/>
      <c r="I2598" s="61"/>
    </row>
    <row r="2599" spans="8:9">
      <c r="H2599" s="61"/>
      <c r="I2599" s="61"/>
    </row>
    <row r="2600" spans="8:9">
      <c r="H2600" s="61"/>
      <c r="I2600" s="61"/>
    </row>
    <row r="2601" spans="8:9">
      <c r="H2601" s="61"/>
      <c r="I2601" s="61"/>
    </row>
    <row r="2602" spans="8:9">
      <c r="H2602" s="61"/>
      <c r="I2602" s="61"/>
    </row>
    <row r="2603" spans="8:9">
      <c r="H2603" s="61"/>
      <c r="I2603" s="61"/>
    </row>
    <row r="2604" spans="8:9">
      <c r="H2604" s="61"/>
      <c r="I2604" s="61"/>
    </row>
    <row r="2605" spans="8:9">
      <c r="H2605" s="61"/>
      <c r="I2605" s="61"/>
    </row>
    <row r="2606" spans="8:9">
      <c r="H2606" s="61"/>
      <c r="I2606" s="61"/>
    </row>
    <row r="2607" spans="8:9">
      <c r="H2607" s="61"/>
      <c r="I2607" s="61"/>
    </row>
    <row r="2608" spans="8:9">
      <c r="H2608" s="61"/>
      <c r="I2608" s="61"/>
    </row>
    <row r="2609" spans="8:9">
      <c r="H2609" s="61"/>
      <c r="I2609" s="61"/>
    </row>
    <row r="2610" spans="8:9">
      <c r="H2610" s="61"/>
      <c r="I2610" s="61"/>
    </row>
    <row r="2611" spans="8:9">
      <c r="H2611" s="61"/>
      <c r="I2611" s="61"/>
    </row>
    <row r="2612" spans="8:9">
      <c r="H2612" s="61"/>
      <c r="I2612" s="61"/>
    </row>
    <row r="2613" spans="8:9">
      <c r="H2613" s="61"/>
      <c r="I2613" s="61"/>
    </row>
    <row r="2614" spans="8:9">
      <c r="H2614" s="61"/>
      <c r="I2614" s="61"/>
    </row>
    <row r="2615" spans="8:9">
      <c r="H2615" s="61"/>
      <c r="I2615" s="61"/>
    </row>
    <row r="2616" spans="8:9">
      <c r="H2616" s="61"/>
      <c r="I2616" s="61"/>
    </row>
    <row r="2617" spans="8:9">
      <c r="H2617" s="61"/>
      <c r="I2617" s="61"/>
    </row>
    <row r="2618" spans="8:9">
      <c r="H2618" s="61"/>
      <c r="I2618" s="61"/>
    </row>
    <row r="2619" spans="8:9">
      <c r="H2619" s="61"/>
      <c r="I2619" s="61"/>
    </row>
    <row r="2620" spans="8:9">
      <c r="H2620" s="61"/>
      <c r="I2620" s="61"/>
    </row>
    <row r="2621" spans="8:9">
      <c r="H2621" s="61"/>
      <c r="I2621" s="61"/>
    </row>
    <row r="2622" spans="8:9">
      <c r="H2622" s="61"/>
      <c r="I2622" s="61"/>
    </row>
    <row r="2623" spans="8:9">
      <c r="H2623" s="61"/>
      <c r="I2623" s="61"/>
    </row>
    <row r="2624" spans="8:9">
      <c r="H2624" s="61"/>
      <c r="I2624" s="61"/>
    </row>
    <row r="2625" spans="8:9">
      <c r="H2625" s="61"/>
      <c r="I2625" s="61"/>
    </row>
    <row r="2626" spans="8:9">
      <c r="H2626" s="61"/>
      <c r="I2626" s="61"/>
    </row>
    <row r="2627" spans="8:9">
      <c r="H2627" s="61"/>
      <c r="I2627" s="61"/>
    </row>
    <row r="2628" spans="8:9">
      <c r="H2628" s="61"/>
      <c r="I2628" s="61"/>
    </row>
    <row r="2629" spans="8:9">
      <c r="H2629" s="61"/>
      <c r="I2629" s="61"/>
    </row>
    <row r="2630" spans="8:9">
      <c r="H2630" s="61"/>
      <c r="I2630" s="61"/>
    </row>
    <row r="2631" spans="8:9">
      <c r="H2631" s="61"/>
      <c r="I2631" s="61"/>
    </row>
    <row r="2632" spans="8:9">
      <c r="H2632" s="61"/>
      <c r="I2632" s="61"/>
    </row>
    <row r="2633" spans="8:9">
      <c r="H2633" s="61"/>
      <c r="I2633" s="61"/>
    </row>
    <row r="2634" spans="8:9">
      <c r="H2634" s="61"/>
      <c r="I2634" s="61"/>
    </row>
    <row r="2635" spans="8:9">
      <c r="H2635" s="61"/>
      <c r="I2635" s="61"/>
    </row>
    <row r="2636" spans="8:9">
      <c r="H2636" s="61"/>
      <c r="I2636" s="61"/>
    </row>
    <row r="2637" spans="8:9">
      <c r="H2637" s="61"/>
      <c r="I2637" s="61"/>
    </row>
    <row r="2638" spans="8:9">
      <c r="H2638" s="61"/>
      <c r="I2638" s="61"/>
    </row>
    <row r="2639" spans="8:9">
      <c r="H2639" s="61"/>
      <c r="I2639" s="61"/>
    </row>
    <row r="2640" spans="8:9">
      <c r="H2640" s="61"/>
      <c r="I2640" s="61"/>
    </row>
    <row r="2641" spans="8:9">
      <c r="H2641" s="61"/>
      <c r="I2641" s="61"/>
    </row>
    <row r="2642" spans="8:9">
      <c r="H2642" s="61"/>
      <c r="I2642" s="61"/>
    </row>
    <row r="2643" spans="8:9">
      <c r="H2643" s="61"/>
      <c r="I2643" s="61"/>
    </row>
    <row r="2644" spans="8:9">
      <c r="H2644" s="61"/>
      <c r="I2644" s="61"/>
    </row>
    <row r="2645" spans="8:9">
      <c r="H2645" s="61"/>
      <c r="I2645" s="61"/>
    </row>
    <row r="2646" spans="8:9">
      <c r="H2646" s="61"/>
      <c r="I2646" s="61"/>
    </row>
    <row r="2647" spans="8:9">
      <c r="H2647" s="61"/>
      <c r="I2647" s="61"/>
    </row>
    <row r="2648" spans="8:9">
      <c r="H2648" s="61"/>
      <c r="I2648" s="61"/>
    </row>
    <row r="2649" spans="8:9">
      <c r="H2649" s="61"/>
      <c r="I2649" s="61"/>
    </row>
    <row r="2650" spans="8:9">
      <c r="H2650" s="61"/>
      <c r="I2650" s="61"/>
    </row>
    <row r="2651" spans="8:9">
      <c r="H2651" s="61"/>
      <c r="I2651" s="61"/>
    </row>
    <row r="2652" spans="8:9">
      <c r="H2652" s="61"/>
      <c r="I2652" s="61"/>
    </row>
    <row r="2653" spans="8:9">
      <c r="H2653" s="61"/>
      <c r="I2653" s="61"/>
    </row>
    <row r="2654" spans="8:9">
      <c r="H2654" s="61"/>
      <c r="I2654" s="61"/>
    </row>
    <row r="2655" spans="8:9">
      <c r="H2655" s="61"/>
      <c r="I2655" s="61"/>
    </row>
    <row r="2656" spans="8:9">
      <c r="H2656" s="61"/>
      <c r="I2656" s="61"/>
    </row>
    <row r="2657" spans="8:9">
      <c r="H2657" s="61"/>
      <c r="I2657" s="61"/>
    </row>
    <row r="2658" spans="8:9">
      <c r="H2658" s="61"/>
      <c r="I2658" s="61"/>
    </row>
    <row r="2659" spans="8:9">
      <c r="H2659" s="61"/>
      <c r="I2659" s="61"/>
    </row>
    <row r="2660" spans="8:9">
      <c r="H2660" s="61"/>
      <c r="I2660" s="61"/>
    </row>
    <row r="2661" spans="8:9">
      <c r="H2661" s="61"/>
      <c r="I2661" s="61"/>
    </row>
    <row r="2662" spans="8:9">
      <c r="H2662" s="61"/>
      <c r="I2662" s="61"/>
    </row>
    <row r="2663" spans="8:9">
      <c r="H2663" s="61"/>
      <c r="I2663" s="61"/>
    </row>
    <row r="2664" spans="8:9">
      <c r="H2664" s="61"/>
      <c r="I2664" s="61"/>
    </row>
    <row r="2665" spans="8:9">
      <c r="H2665" s="61"/>
      <c r="I2665" s="61"/>
    </row>
    <row r="2666" spans="8:9">
      <c r="H2666" s="61"/>
      <c r="I2666" s="61"/>
    </row>
    <row r="2667" spans="8:9">
      <c r="H2667" s="61"/>
      <c r="I2667" s="61"/>
    </row>
    <row r="2668" spans="8:9">
      <c r="H2668" s="61"/>
      <c r="I2668" s="61"/>
    </row>
    <row r="2669" spans="8:9">
      <c r="H2669" s="61"/>
      <c r="I2669" s="61"/>
    </row>
    <row r="2670" spans="8:9">
      <c r="H2670" s="61"/>
      <c r="I2670" s="61"/>
    </row>
    <row r="2671" spans="8:9">
      <c r="H2671" s="61"/>
      <c r="I2671" s="61"/>
    </row>
    <row r="2672" spans="8:9">
      <c r="H2672" s="61"/>
      <c r="I2672" s="61"/>
    </row>
    <row r="2673" spans="8:9">
      <c r="H2673" s="61"/>
      <c r="I2673" s="61"/>
    </row>
    <row r="2674" spans="8:9">
      <c r="H2674" s="61"/>
      <c r="I2674" s="61"/>
    </row>
    <row r="2675" spans="8:9">
      <c r="H2675" s="61"/>
      <c r="I2675" s="61"/>
    </row>
    <row r="2676" spans="8:9">
      <c r="H2676" s="61"/>
      <c r="I2676" s="61"/>
    </row>
    <row r="2677" spans="8:9">
      <c r="H2677" s="61"/>
      <c r="I2677" s="61"/>
    </row>
    <row r="2678" spans="8:9">
      <c r="H2678" s="61"/>
      <c r="I2678" s="61"/>
    </row>
    <row r="2679" spans="8:9">
      <c r="H2679" s="61"/>
      <c r="I2679" s="61"/>
    </row>
    <row r="2680" spans="8:9">
      <c r="H2680" s="61"/>
      <c r="I2680" s="61"/>
    </row>
    <row r="2681" spans="8:9">
      <c r="H2681" s="61"/>
      <c r="I2681" s="61"/>
    </row>
    <row r="2682" spans="8:9">
      <c r="H2682" s="61"/>
      <c r="I2682" s="61"/>
    </row>
    <row r="2683" spans="8:9">
      <c r="H2683" s="61"/>
      <c r="I2683" s="61"/>
    </row>
    <row r="2684" spans="8:9">
      <c r="H2684" s="61"/>
      <c r="I2684" s="61"/>
    </row>
    <row r="2685" spans="8:9">
      <c r="H2685" s="61"/>
      <c r="I2685" s="61"/>
    </row>
    <row r="2686" spans="8:9">
      <c r="H2686" s="61"/>
      <c r="I2686" s="61"/>
    </row>
    <row r="2687" spans="8:9">
      <c r="H2687" s="61"/>
      <c r="I2687" s="61"/>
    </row>
    <row r="2688" spans="8:9">
      <c r="H2688" s="61"/>
      <c r="I2688" s="61"/>
    </row>
    <row r="2689" spans="8:9">
      <c r="H2689" s="61"/>
      <c r="I2689" s="61"/>
    </row>
    <row r="2690" spans="8:9">
      <c r="H2690" s="61"/>
      <c r="I2690" s="61"/>
    </row>
    <row r="2691" spans="8:9">
      <c r="H2691" s="61"/>
      <c r="I2691" s="61"/>
    </row>
    <row r="2692" spans="8:9">
      <c r="H2692" s="61"/>
      <c r="I2692" s="61"/>
    </row>
    <row r="2693" spans="8:9">
      <c r="H2693" s="61"/>
      <c r="I2693" s="61"/>
    </row>
    <row r="2694" spans="8:9">
      <c r="H2694" s="61"/>
      <c r="I2694" s="61"/>
    </row>
    <row r="2695" spans="8:9">
      <c r="H2695" s="61"/>
      <c r="I2695" s="61"/>
    </row>
    <row r="2696" spans="8:9">
      <c r="H2696" s="61"/>
      <c r="I2696" s="61"/>
    </row>
    <row r="2697" spans="8:9">
      <c r="H2697" s="61"/>
      <c r="I2697" s="61"/>
    </row>
    <row r="2698" spans="8:9">
      <c r="H2698" s="61"/>
      <c r="I2698" s="61"/>
    </row>
    <row r="2699" spans="8:9">
      <c r="H2699" s="61"/>
      <c r="I2699" s="61"/>
    </row>
    <row r="2700" spans="8:9">
      <c r="H2700" s="61"/>
      <c r="I2700" s="61"/>
    </row>
    <row r="2701" spans="8:9">
      <c r="H2701" s="61"/>
      <c r="I2701" s="61"/>
    </row>
    <row r="2702" spans="8:9">
      <c r="H2702" s="61"/>
      <c r="I2702" s="61"/>
    </row>
    <row r="2703" spans="8:9">
      <c r="H2703" s="61"/>
      <c r="I2703" s="61"/>
    </row>
    <row r="2704" spans="8:9">
      <c r="H2704" s="61"/>
      <c r="I2704" s="61"/>
    </row>
    <row r="2705" spans="8:9">
      <c r="H2705" s="61"/>
      <c r="I2705" s="61"/>
    </row>
    <row r="2706" spans="8:9">
      <c r="H2706" s="61"/>
      <c r="I2706" s="61"/>
    </row>
    <row r="2707" spans="8:9">
      <c r="H2707" s="61"/>
      <c r="I2707" s="61"/>
    </row>
    <row r="2708" spans="8:9">
      <c r="H2708" s="61"/>
      <c r="I2708" s="61"/>
    </row>
    <row r="2709" spans="8:9">
      <c r="H2709" s="61"/>
      <c r="I2709" s="61"/>
    </row>
    <row r="2710" spans="8:9">
      <c r="H2710" s="61"/>
      <c r="I2710" s="61"/>
    </row>
    <row r="2711" spans="8:9">
      <c r="H2711" s="61"/>
      <c r="I2711" s="61"/>
    </row>
    <row r="2712" spans="8:9">
      <c r="H2712" s="61"/>
      <c r="I2712" s="61"/>
    </row>
    <row r="2713" spans="8:9">
      <c r="H2713" s="61"/>
      <c r="I2713" s="61"/>
    </row>
    <row r="2714" spans="8:9">
      <c r="H2714" s="61"/>
      <c r="I2714" s="61"/>
    </row>
    <row r="2715" spans="8:9">
      <c r="H2715" s="61"/>
      <c r="I2715" s="61"/>
    </row>
    <row r="2716" spans="8:9">
      <c r="H2716" s="61"/>
      <c r="I2716" s="61"/>
    </row>
    <row r="2717" spans="8:9">
      <c r="H2717" s="61"/>
      <c r="I2717" s="61"/>
    </row>
    <row r="2718" spans="8:9">
      <c r="H2718" s="61"/>
      <c r="I2718" s="61"/>
    </row>
    <row r="2719" spans="8:9">
      <c r="H2719" s="61"/>
      <c r="I2719" s="61"/>
    </row>
    <row r="2720" spans="8:9">
      <c r="H2720" s="61"/>
      <c r="I2720" s="61"/>
    </row>
    <row r="2721" spans="8:9">
      <c r="H2721" s="61"/>
      <c r="I2721" s="61"/>
    </row>
    <row r="2722" spans="8:9">
      <c r="H2722" s="61"/>
      <c r="I2722" s="61"/>
    </row>
    <row r="2723" spans="8:9">
      <c r="H2723" s="61"/>
      <c r="I2723" s="61"/>
    </row>
    <row r="2724" spans="8:9">
      <c r="H2724" s="61"/>
      <c r="I2724" s="61"/>
    </row>
    <row r="2725" spans="8:9">
      <c r="H2725" s="61"/>
      <c r="I2725" s="61"/>
    </row>
    <row r="2726" spans="8:9">
      <c r="H2726" s="61"/>
      <c r="I2726" s="61"/>
    </row>
    <row r="2727" spans="8:9">
      <c r="H2727" s="61"/>
      <c r="I2727" s="61"/>
    </row>
    <row r="2728" spans="8:9">
      <c r="H2728" s="61"/>
      <c r="I2728" s="61"/>
    </row>
    <row r="2729" spans="8:9">
      <c r="H2729" s="61"/>
      <c r="I2729" s="61"/>
    </row>
    <row r="2730" spans="8:9">
      <c r="H2730" s="61"/>
      <c r="I2730" s="61"/>
    </row>
    <row r="2731" spans="8:9">
      <c r="H2731" s="61"/>
      <c r="I2731" s="61"/>
    </row>
    <row r="2732" spans="8:9">
      <c r="H2732" s="61"/>
      <c r="I2732" s="61"/>
    </row>
    <row r="2733" spans="8:9">
      <c r="H2733" s="61"/>
      <c r="I2733" s="61"/>
    </row>
    <row r="2734" spans="8:9">
      <c r="H2734" s="61"/>
      <c r="I2734" s="61"/>
    </row>
    <row r="2735" spans="8:9">
      <c r="H2735" s="61"/>
      <c r="I2735" s="61"/>
    </row>
    <row r="2736" spans="8:9">
      <c r="H2736" s="61"/>
      <c r="I2736" s="61"/>
    </row>
    <row r="2737" spans="8:9">
      <c r="H2737" s="61"/>
      <c r="I2737" s="61"/>
    </row>
    <row r="2738" spans="8:9">
      <c r="H2738" s="61"/>
      <c r="I2738" s="61"/>
    </row>
    <row r="2739" spans="8:9">
      <c r="H2739" s="61"/>
      <c r="I2739" s="61"/>
    </row>
    <row r="2740" spans="8:9">
      <c r="H2740" s="61"/>
      <c r="I2740" s="61"/>
    </row>
    <row r="2741" spans="8:9">
      <c r="H2741" s="61"/>
      <c r="I2741" s="61"/>
    </row>
    <row r="2742" spans="8:9">
      <c r="H2742" s="61"/>
      <c r="I2742" s="61"/>
    </row>
    <row r="2743" spans="8:9">
      <c r="H2743" s="61"/>
      <c r="I2743" s="61"/>
    </row>
    <row r="2744" spans="8:9">
      <c r="H2744" s="61"/>
      <c r="I2744" s="61"/>
    </row>
    <row r="2745" spans="8:9">
      <c r="H2745" s="61"/>
      <c r="I2745" s="61"/>
    </row>
    <row r="2746" spans="8:9">
      <c r="H2746" s="61"/>
      <c r="I2746" s="61"/>
    </row>
    <row r="2747" spans="8:9">
      <c r="H2747" s="61"/>
      <c r="I2747" s="61"/>
    </row>
    <row r="2748" spans="8:9">
      <c r="H2748" s="61"/>
      <c r="I2748" s="61"/>
    </row>
    <row r="2749" spans="8:9">
      <c r="H2749" s="61"/>
      <c r="I2749" s="61"/>
    </row>
    <row r="2750" spans="8:9">
      <c r="H2750" s="61"/>
      <c r="I2750" s="61"/>
    </row>
    <row r="2751" spans="8:9">
      <c r="H2751" s="61"/>
      <c r="I2751" s="61"/>
    </row>
    <row r="2752" spans="8:9">
      <c r="H2752" s="61"/>
      <c r="I2752" s="61"/>
    </row>
    <row r="2753" spans="8:9">
      <c r="H2753" s="61"/>
      <c r="I2753" s="61"/>
    </row>
    <row r="2754" spans="8:9">
      <c r="H2754" s="61"/>
      <c r="I2754" s="61"/>
    </row>
    <row r="2755" spans="8:9">
      <c r="H2755" s="61"/>
      <c r="I2755" s="61"/>
    </row>
    <row r="2756" spans="8:9">
      <c r="H2756" s="61"/>
      <c r="I2756" s="61"/>
    </row>
    <row r="2757" spans="8:9">
      <c r="H2757" s="61"/>
      <c r="I2757" s="61"/>
    </row>
    <row r="2758" spans="8:9">
      <c r="H2758" s="61"/>
      <c r="I2758" s="61"/>
    </row>
    <row r="2759" spans="8:9">
      <c r="H2759" s="61"/>
      <c r="I2759" s="61"/>
    </row>
    <row r="2760" spans="8:9">
      <c r="H2760" s="61"/>
      <c r="I2760" s="61"/>
    </row>
    <row r="2761" spans="8:9">
      <c r="H2761" s="61"/>
      <c r="I2761" s="61"/>
    </row>
    <row r="2762" spans="8:9">
      <c r="H2762" s="61"/>
      <c r="I2762" s="61"/>
    </row>
    <row r="2763" spans="8:9">
      <c r="H2763" s="61"/>
      <c r="I2763" s="61"/>
    </row>
    <row r="2764" spans="8:9">
      <c r="H2764" s="61"/>
      <c r="I2764" s="61"/>
    </row>
    <row r="2765" spans="8:9">
      <c r="H2765" s="61"/>
      <c r="I2765" s="61"/>
    </row>
    <row r="2766" spans="8:9">
      <c r="H2766" s="61"/>
      <c r="I2766" s="61"/>
    </row>
    <row r="2767" spans="8:9">
      <c r="H2767" s="61"/>
      <c r="I2767" s="61"/>
    </row>
    <row r="2768" spans="8:9">
      <c r="H2768" s="61"/>
      <c r="I2768" s="61"/>
    </row>
    <row r="2769" spans="8:9">
      <c r="H2769" s="61"/>
      <c r="I2769" s="61"/>
    </row>
    <row r="2770" spans="8:9">
      <c r="H2770" s="61"/>
      <c r="I2770" s="61"/>
    </row>
    <row r="2771" spans="8:9">
      <c r="H2771" s="61"/>
      <c r="I2771" s="61"/>
    </row>
    <row r="2772" spans="8:9">
      <c r="H2772" s="61"/>
      <c r="I2772" s="61"/>
    </row>
    <row r="2773" spans="8:9">
      <c r="H2773" s="61"/>
      <c r="I2773" s="61"/>
    </row>
    <row r="2774" spans="8:9">
      <c r="H2774" s="61"/>
      <c r="I2774" s="61"/>
    </row>
    <row r="2775" spans="8:9">
      <c r="H2775" s="61"/>
      <c r="I2775" s="61"/>
    </row>
    <row r="2776" spans="8:9">
      <c r="H2776" s="61"/>
      <c r="I2776" s="61"/>
    </row>
    <row r="2777" spans="8:9">
      <c r="H2777" s="61"/>
      <c r="I2777" s="61"/>
    </row>
    <row r="2778" spans="8:9">
      <c r="H2778" s="61"/>
      <c r="I2778" s="61"/>
    </row>
    <row r="2779" spans="8:9">
      <c r="H2779" s="61"/>
      <c r="I2779" s="61"/>
    </row>
    <row r="2780" spans="8:9">
      <c r="H2780" s="61"/>
      <c r="I2780" s="61"/>
    </row>
    <row r="2781" spans="8:9">
      <c r="H2781" s="61"/>
      <c r="I2781" s="61"/>
    </row>
    <row r="2782" spans="8:9">
      <c r="H2782" s="61"/>
      <c r="I2782" s="61"/>
    </row>
    <row r="2783" spans="8:9">
      <c r="H2783" s="61"/>
      <c r="I2783" s="61"/>
    </row>
    <row r="2784" spans="8:9">
      <c r="H2784" s="61"/>
      <c r="I2784" s="61"/>
    </row>
    <row r="2785" spans="8:9">
      <c r="H2785" s="61"/>
      <c r="I2785" s="61"/>
    </row>
    <row r="2786" spans="8:9">
      <c r="H2786" s="61"/>
      <c r="I2786" s="61"/>
    </row>
    <row r="2787" spans="8:9">
      <c r="H2787" s="61"/>
      <c r="I2787" s="61"/>
    </row>
    <row r="2788" spans="8:9">
      <c r="H2788" s="61"/>
      <c r="I2788" s="61"/>
    </row>
    <row r="2789" spans="8:9">
      <c r="H2789" s="61"/>
      <c r="I2789" s="61"/>
    </row>
    <row r="2790" spans="8:9">
      <c r="H2790" s="61"/>
      <c r="I2790" s="61"/>
    </row>
    <row r="2791" spans="8:9">
      <c r="H2791" s="61"/>
      <c r="I2791" s="61"/>
    </row>
    <row r="2792" spans="8:9">
      <c r="H2792" s="61"/>
      <c r="I2792" s="61"/>
    </row>
    <row r="2793" spans="8:9">
      <c r="H2793" s="61"/>
      <c r="I2793" s="61"/>
    </row>
    <row r="2794" spans="8:9">
      <c r="H2794" s="61"/>
      <c r="I2794" s="61"/>
    </row>
    <row r="2795" spans="8:9">
      <c r="H2795" s="61"/>
      <c r="I2795" s="61"/>
    </row>
    <row r="2796" spans="8:9">
      <c r="H2796" s="61"/>
      <c r="I2796" s="61"/>
    </row>
    <row r="2797" spans="8:9">
      <c r="H2797" s="61"/>
      <c r="I2797" s="61"/>
    </row>
    <row r="2798" spans="8:9">
      <c r="H2798" s="61"/>
      <c r="I2798" s="61"/>
    </row>
    <row r="2799" spans="8:9">
      <c r="H2799" s="61"/>
      <c r="I2799" s="61"/>
    </row>
    <row r="2800" spans="8:9">
      <c r="H2800" s="61"/>
      <c r="I2800" s="61"/>
    </row>
    <row r="2801" spans="8:9">
      <c r="H2801" s="61"/>
      <c r="I2801" s="61"/>
    </row>
    <row r="2802" spans="8:9">
      <c r="H2802" s="61"/>
      <c r="I2802" s="61"/>
    </row>
    <row r="2803" spans="8:9">
      <c r="H2803" s="61"/>
      <c r="I2803" s="61"/>
    </row>
    <row r="2804" spans="8:9">
      <c r="H2804" s="61"/>
      <c r="I2804" s="61"/>
    </row>
    <row r="2805" spans="8:9">
      <c r="H2805" s="61"/>
      <c r="I2805" s="61"/>
    </row>
    <row r="2806" spans="8:9">
      <c r="H2806" s="61"/>
      <c r="I2806" s="61"/>
    </row>
    <row r="2807" spans="8:9">
      <c r="H2807" s="61"/>
      <c r="I2807" s="61"/>
    </row>
    <row r="2808" spans="8:9">
      <c r="H2808" s="61"/>
      <c r="I2808" s="61"/>
    </row>
    <row r="2809" spans="8:9">
      <c r="H2809" s="61"/>
      <c r="I2809" s="61"/>
    </row>
    <row r="2810" spans="8:9">
      <c r="H2810" s="61"/>
      <c r="I2810" s="61"/>
    </row>
    <row r="2811" spans="8:9">
      <c r="H2811" s="61"/>
      <c r="I2811" s="61"/>
    </row>
    <row r="2812" spans="8:9">
      <c r="H2812" s="61"/>
      <c r="I2812" s="61"/>
    </row>
    <row r="2813" spans="8:9">
      <c r="H2813" s="61"/>
      <c r="I2813" s="61"/>
    </row>
    <row r="2814" spans="8:9">
      <c r="H2814" s="61"/>
      <c r="I2814" s="61"/>
    </row>
    <row r="2815" spans="8:9">
      <c r="H2815" s="61"/>
      <c r="I2815" s="61"/>
    </row>
    <row r="2816" spans="8:9">
      <c r="H2816" s="61"/>
      <c r="I2816" s="61"/>
    </row>
    <row r="2817" spans="8:9">
      <c r="H2817" s="61"/>
      <c r="I2817" s="61"/>
    </row>
    <row r="2818" spans="8:9">
      <c r="H2818" s="61"/>
      <c r="I2818" s="61"/>
    </row>
    <row r="2819" spans="8:9">
      <c r="H2819" s="61"/>
      <c r="I2819" s="61"/>
    </row>
    <row r="2820" spans="8:9">
      <c r="H2820" s="61"/>
      <c r="I2820" s="61"/>
    </row>
    <row r="2821" spans="8:9">
      <c r="H2821" s="61"/>
      <c r="I2821" s="61"/>
    </row>
    <row r="2822" spans="8:9">
      <c r="H2822" s="61"/>
      <c r="I2822" s="61"/>
    </row>
    <row r="2823" spans="8:9">
      <c r="H2823" s="61"/>
      <c r="I2823" s="61"/>
    </row>
    <row r="2824" spans="8:9">
      <c r="H2824" s="61"/>
      <c r="I2824" s="61"/>
    </row>
    <row r="2825" spans="8:9">
      <c r="H2825" s="61"/>
      <c r="I2825" s="61"/>
    </row>
    <row r="2826" spans="8:9">
      <c r="H2826" s="61"/>
      <c r="I2826" s="61"/>
    </row>
    <row r="2827" spans="8:9">
      <c r="H2827" s="61"/>
      <c r="I2827" s="61"/>
    </row>
    <row r="2828" spans="8:9">
      <c r="H2828" s="61"/>
      <c r="I2828" s="61"/>
    </row>
    <row r="2829" spans="8:9">
      <c r="H2829" s="61"/>
      <c r="I2829" s="61"/>
    </row>
    <row r="2830" spans="8:9">
      <c r="H2830" s="61"/>
      <c r="I2830" s="61"/>
    </row>
    <row r="2831" spans="8:9">
      <c r="H2831" s="61"/>
      <c r="I2831" s="61"/>
    </row>
    <row r="2832" spans="8:9">
      <c r="H2832" s="61"/>
      <c r="I2832" s="61"/>
    </row>
    <row r="2833" spans="8:9">
      <c r="H2833" s="61"/>
      <c r="I2833" s="61"/>
    </row>
    <row r="2834" spans="8:9">
      <c r="H2834" s="61"/>
      <c r="I2834" s="61"/>
    </row>
    <row r="2835" spans="8:9">
      <c r="H2835" s="61"/>
      <c r="I2835" s="61"/>
    </row>
    <row r="2836" spans="8:9">
      <c r="H2836" s="61"/>
      <c r="I2836" s="61"/>
    </row>
    <row r="2837" spans="8:9">
      <c r="H2837" s="61"/>
      <c r="I2837" s="61"/>
    </row>
    <row r="2838" spans="8:9">
      <c r="H2838" s="61"/>
      <c r="I2838" s="61"/>
    </row>
    <row r="2839" spans="8:9">
      <c r="H2839" s="61"/>
      <c r="I2839" s="61"/>
    </row>
    <row r="2840" spans="8:9">
      <c r="H2840" s="61"/>
      <c r="I2840" s="61"/>
    </row>
    <row r="2841" spans="8:9">
      <c r="H2841" s="61"/>
      <c r="I2841" s="61"/>
    </row>
    <row r="2842" spans="8:9">
      <c r="H2842" s="61"/>
      <c r="I2842" s="61"/>
    </row>
    <row r="2843" spans="8:9">
      <c r="H2843" s="61"/>
      <c r="I2843" s="61"/>
    </row>
    <row r="2844" spans="8:9">
      <c r="H2844" s="61"/>
      <c r="I2844" s="61"/>
    </row>
    <row r="2845" spans="8:9">
      <c r="H2845" s="61"/>
      <c r="I2845" s="61"/>
    </row>
    <row r="2846" spans="8:9">
      <c r="H2846" s="61"/>
      <c r="I2846" s="61"/>
    </row>
    <row r="2847" spans="8:9">
      <c r="H2847" s="61"/>
      <c r="I2847" s="61"/>
    </row>
    <row r="2848" spans="8:9">
      <c r="H2848" s="61"/>
      <c r="I2848" s="61"/>
    </row>
    <row r="2849" spans="8:9">
      <c r="H2849" s="61"/>
      <c r="I2849" s="61"/>
    </row>
    <row r="2850" spans="8:9">
      <c r="H2850" s="61"/>
      <c r="I2850" s="61"/>
    </row>
    <row r="2851" spans="8:9">
      <c r="H2851" s="61"/>
      <c r="I2851" s="61"/>
    </row>
    <row r="2852" spans="8:9">
      <c r="H2852" s="61"/>
      <c r="I2852" s="61"/>
    </row>
    <row r="2853" spans="8:9">
      <c r="H2853" s="61"/>
      <c r="I2853" s="61"/>
    </row>
    <row r="2854" spans="8:9">
      <c r="H2854" s="61"/>
      <c r="I2854" s="61"/>
    </row>
    <row r="2855" spans="8:9">
      <c r="H2855" s="61"/>
      <c r="I2855" s="61"/>
    </row>
    <row r="2856" spans="8:9">
      <c r="H2856" s="61"/>
      <c r="I2856" s="61"/>
    </row>
    <row r="2857" spans="8:9">
      <c r="H2857" s="61"/>
      <c r="I2857" s="61"/>
    </row>
    <row r="2858" spans="8:9">
      <c r="H2858" s="61"/>
      <c r="I2858" s="61"/>
    </row>
    <row r="2859" spans="8:9">
      <c r="H2859" s="61"/>
      <c r="I2859" s="61"/>
    </row>
    <row r="2860" spans="8:9">
      <c r="H2860" s="61"/>
      <c r="I2860" s="61"/>
    </row>
    <row r="2861" spans="8:9">
      <c r="H2861" s="61"/>
      <c r="I2861" s="61"/>
    </row>
    <row r="2862" spans="8:9">
      <c r="H2862" s="61"/>
      <c r="I2862" s="61"/>
    </row>
    <row r="2863" spans="8:9">
      <c r="H2863" s="61"/>
      <c r="I2863" s="61"/>
    </row>
    <row r="2864" spans="8:9">
      <c r="H2864" s="61"/>
      <c r="I2864" s="61"/>
    </row>
    <row r="2865" spans="8:9">
      <c r="H2865" s="61"/>
      <c r="I2865" s="61"/>
    </row>
    <row r="2866" spans="8:9">
      <c r="H2866" s="61"/>
      <c r="I2866" s="61"/>
    </row>
    <row r="2867" spans="8:9">
      <c r="H2867" s="61"/>
      <c r="I2867" s="61"/>
    </row>
    <row r="2868" spans="8:9">
      <c r="H2868" s="61"/>
      <c r="I2868" s="61"/>
    </row>
    <row r="2869" spans="8:9">
      <c r="H2869" s="61"/>
      <c r="I2869" s="61"/>
    </row>
    <row r="2870" spans="8:9">
      <c r="H2870" s="61"/>
      <c r="I2870" s="61"/>
    </row>
    <row r="2871" spans="8:9">
      <c r="H2871" s="61"/>
      <c r="I2871" s="61"/>
    </row>
    <row r="2872" spans="8:9">
      <c r="H2872" s="61"/>
      <c r="I2872" s="61"/>
    </row>
    <row r="2873" spans="8:9">
      <c r="H2873" s="61"/>
      <c r="I2873" s="61"/>
    </row>
    <row r="2874" spans="8:9">
      <c r="H2874" s="61"/>
      <c r="I2874" s="61"/>
    </row>
    <row r="2875" spans="8:9">
      <c r="H2875" s="61"/>
      <c r="I2875" s="61"/>
    </row>
    <row r="2876" spans="8:9">
      <c r="H2876" s="61"/>
      <c r="I2876" s="61"/>
    </row>
    <row r="2877" spans="8:9">
      <c r="H2877" s="61"/>
      <c r="I2877" s="61"/>
    </row>
    <row r="2878" spans="8:9">
      <c r="H2878" s="61"/>
      <c r="I2878" s="61"/>
    </row>
    <row r="2879" spans="8:9">
      <c r="H2879" s="61"/>
      <c r="I2879" s="61"/>
    </row>
    <row r="2880" spans="8:9">
      <c r="H2880" s="61"/>
      <c r="I2880" s="61"/>
    </row>
    <row r="2881" spans="8:9">
      <c r="H2881" s="61"/>
      <c r="I2881" s="61"/>
    </row>
    <row r="2882" spans="8:9">
      <c r="H2882" s="61"/>
      <c r="I2882" s="61"/>
    </row>
    <row r="2883" spans="8:9">
      <c r="H2883" s="61"/>
      <c r="I2883" s="61"/>
    </row>
    <row r="2884" spans="8:9">
      <c r="H2884" s="61"/>
      <c r="I2884" s="61"/>
    </row>
    <row r="2885" spans="8:9">
      <c r="H2885" s="61"/>
      <c r="I2885" s="61"/>
    </row>
    <row r="2886" spans="8:9">
      <c r="H2886" s="61"/>
      <c r="I2886" s="61"/>
    </row>
    <row r="2887" spans="8:9">
      <c r="H2887" s="61"/>
      <c r="I2887" s="61"/>
    </row>
    <row r="2888" spans="8:9">
      <c r="H2888" s="61"/>
      <c r="I2888" s="61"/>
    </row>
    <row r="2889" spans="8:9">
      <c r="H2889" s="61"/>
      <c r="I2889" s="61"/>
    </row>
    <row r="2890" spans="8:9">
      <c r="H2890" s="61"/>
      <c r="I2890" s="61"/>
    </row>
    <row r="2891" spans="8:9">
      <c r="H2891" s="61"/>
      <c r="I2891" s="61"/>
    </row>
    <row r="2892" spans="8:9">
      <c r="H2892" s="61"/>
      <c r="I2892" s="61"/>
    </row>
    <row r="2893" spans="8:9">
      <c r="H2893" s="61"/>
      <c r="I2893" s="61"/>
    </row>
    <row r="2894" spans="8:9">
      <c r="H2894" s="61"/>
      <c r="I2894" s="61"/>
    </row>
    <row r="2895" spans="8:9">
      <c r="H2895" s="61"/>
      <c r="I2895" s="61"/>
    </row>
    <row r="2896" spans="8:9">
      <c r="H2896" s="61"/>
      <c r="I2896" s="61"/>
    </row>
    <row r="2897" spans="8:9">
      <c r="H2897" s="61"/>
      <c r="I2897" s="61"/>
    </row>
    <row r="2898" spans="8:9">
      <c r="H2898" s="61"/>
      <c r="I2898" s="61"/>
    </row>
    <row r="2899" spans="8:9">
      <c r="H2899" s="61"/>
      <c r="I2899" s="61"/>
    </row>
    <row r="2900" spans="8:9">
      <c r="H2900" s="61"/>
      <c r="I2900" s="61"/>
    </row>
    <row r="2901" spans="8:9">
      <c r="H2901" s="61"/>
      <c r="I2901" s="61"/>
    </row>
    <row r="2902" spans="8:9">
      <c r="H2902" s="61"/>
      <c r="I2902" s="61"/>
    </row>
    <row r="2903" spans="8:9">
      <c r="H2903" s="61"/>
      <c r="I2903" s="61"/>
    </row>
    <row r="2904" spans="8:9">
      <c r="H2904" s="61"/>
      <c r="I2904" s="61"/>
    </row>
    <row r="2905" spans="8:9">
      <c r="H2905" s="61"/>
      <c r="I2905" s="61"/>
    </row>
    <row r="2906" spans="8:9">
      <c r="H2906" s="61"/>
      <c r="I2906" s="61"/>
    </row>
    <row r="2907" spans="8:9">
      <c r="H2907" s="61"/>
      <c r="I2907" s="61"/>
    </row>
    <row r="2908" spans="8:9">
      <c r="H2908" s="61"/>
      <c r="I2908" s="61"/>
    </row>
    <row r="2909" spans="8:9">
      <c r="H2909" s="61"/>
      <c r="I2909" s="61"/>
    </row>
    <row r="2910" spans="8:9">
      <c r="H2910" s="61"/>
      <c r="I2910" s="61"/>
    </row>
    <row r="2911" spans="8:9">
      <c r="H2911" s="61"/>
      <c r="I2911" s="61"/>
    </row>
    <row r="2912" spans="8:9">
      <c r="H2912" s="61"/>
      <c r="I2912" s="61"/>
    </row>
    <row r="2913" spans="8:9">
      <c r="H2913" s="61"/>
      <c r="I2913" s="61"/>
    </row>
    <row r="2914" spans="8:9">
      <c r="H2914" s="61"/>
      <c r="I2914" s="61"/>
    </row>
    <row r="2915" spans="8:9">
      <c r="H2915" s="61"/>
      <c r="I2915" s="61"/>
    </row>
    <row r="2916" spans="8:9">
      <c r="H2916" s="61"/>
      <c r="I2916" s="61"/>
    </row>
    <row r="2917" spans="8:9">
      <c r="H2917" s="61"/>
      <c r="I2917" s="61"/>
    </row>
    <row r="2918" spans="8:9">
      <c r="H2918" s="61"/>
      <c r="I2918" s="61"/>
    </row>
    <row r="2919" spans="8:9">
      <c r="H2919" s="61"/>
      <c r="I2919" s="61"/>
    </row>
    <row r="2920" spans="8:9">
      <c r="H2920" s="61"/>
      <c r="I2920" s="61"/>
    </row>
    <row r="2921" spans="8:9">
      <c r="H2921" s="61"/>
      <c r="I2921" s="61"/>
    </row>
    <row r="2922" spans="8:9">
      <c r="H2922" s="61"/>
      <c r="I2922" s="61"/>
    </row>
    <row r="2923" spans="8:9">
      <c r="H2923" s="61"/>
      <c r="I2923" s="61"/>
    </row>
    <row r="2924" spans="8:9">
      <c r="H2924" s="61"/>
      <c r="I2924" s="61"/>
    </row>
    <row r="2925" spans="8:9">
      <c r="H2925" s="61"/>
      <c r="I2925" s="61"/>
    </row>
    <row r="2926" spans="8:9">
      <c r="H2926" s="61"/>
      <c r="I2926" s="61"/>
    </row>
    <row r="2927" spans="8:9">
      <c r="H2927" s="61"/>
      <c r="I2927" s="61"/>
    </row>
    <row r="2928" spans="8:9">
      <c r="H2928" s="61"/>
      <c r="I2928" s="61"/>
    </row>
    <row r="2929" spans="8:9">
      <c r="H2929" s="61"/>
      <c r="I2929" s="61"/>
    </row>
    <row r="2930" spans="8:9">
      <c r="H2930" s="61"/>
      <c r="I2930" s="61"/>
    </row>
    <row r="2931" spans="8:9">
      <c r="H2931" s="61"/>
      <c r="I2931" s="61"/>
    </row>
    <row r="2932" spans="8:9">
      <c r="H2932" s="61"/>
      <c r="I2932" s="61"/>
    </row>
    <row r="2933" spans="8:9">
      <c r="H2933" s="61"/>
      <c r="I2933" s="61"/>
    </row>
    <row r="2934" spans="8:9">
      <c r="H2934" s="61"/>
      <c r="I2934" s="61"/>
    </row>
    <row r="2935" spans="8:9">
      <c r="H2935" s="61"/>
      <c r="I2935" s="61"/>
    </row>
    <row r="2936" spans="8:9">
      <c r="H2936" s="61"/>
      <c r="I2936" s="61"/>
    </row>
    <row r="2937" spans="8:9">
      <c r="H2937" s="61"/>
      <c r="I2937" s="61"/>
    </row>
    <row r="2938" spans="8:9">
      <c r="H2938" s="61"/>
      <c r="I2938" s="61"/>
    </row>
    <row r="2939" spans="8:9">
      <c r="H2939" s="61"/>
      <c r="I2939" s="61"/>
    </row>
    <row r="2940" spans="8:9">
      <c r="H2940" s="61"/>
      <c r="I2940" s="61"/>
    </row>
    <row r="2941" spans="8:9">
      <c r="H2941" s="61"/>
      <c r="I2941" s="61"/>
    </row>
    <row r="2942" spans="8:9">
      <c r="H2942" s="61"/>
      <c r="I2942" s="61"/>
    </row>
    <row r="2943" spans="8:9">
      <c r="H2943" s="61"/>
      <c r="I2943" s="61"/>
    </row>
    <row r="2944" spans="8:9">
      <c r="H2944" s="61"/>
      <c r="I2944" s="61"/>
    </row>
    <row r="2945" spans="8:9">
      <c r="H2945" s="61"/>
      <c r="I2945" s="61"/>
    </row>
    <row r="2946" spans="8:9">
      <c r="H2946" s="61"/>
      <c r="I2946" s="61"/>
    </row>
    <row r="2947" spans="8:9">
      <c r="H2947" s="61"/>
      <c r="I2947" s="61"/>
    </row>
    <row r="2948" spans="8:9">
      <c r="H2948" s="61"/>
      <c r="I2948" s="61"/>
    </row>
    <row r="2949" spans="8:9">
      <c r="H2949" s="61"/>
      <c r="I2949" s="61"/>
    </row>
    <row r="2950" spans="8:9">
      <c r="H2950" s="61"/>
      <c r="I2950" s="61"/>
    </row>
    <row r="2951" spans="8:9">
      <c r="H2951" s="61"/>
      <c r="I2951" s="61"/>
    </row>
    <row r="2952" spans="8:9">
      <c r="H2952" s="61"/>
      <c r="I2952" s="61"/>
    </row>
    <row r="2953" spans="8:9">
      <c r="H2953" s="61"/>
      <c r="I2953" s="61"/>
    </row>
    <row r="2954" spans="8:9">
      <c r="H2954" s="61"/>
      <c r="I2954" s="61"/>
    </row>
    <row r="2955" spans="8:9">
      <c r="H2955" s="61"/>
      <c r="I2955" s="61"/>
    </row>
    <row r="2956" spans="8:9">
      <c r="H2956" s="61"/>
      <c r="I2956" s="61"/>
    </row>
    <row r="2957" spans="8:9">
      <c r="H2957" s="61"/>
      <c r="I2957" s="61"/>
    </row>
    <row r="2958" spans="8:9">
      <c r="H2958" s="61"/>
      <c r="I2958" s="61"/>
    </row>
    <row r="2959" spans="8:9">
      <c r="H2959" s="61"/>
      <c r="I2959" s="61"/>
    </row>
    <row r="2960" spans="8:9">
      <c r="H2960" s="61"/>
      <c r="I2960" s="61"/>
    </row>
    <row r="2961" spans="8:9">
      <c r="H2961" s="61"/>
      <c r="I2961" s="61"/>
    </row>
    <row r="2962" spans="8:9">
      <c r="H2962" s="61"/>
      <c r="I2962" s="61"/>
    </row>
    <row r="2963" spans="8:9">
      <c r="H2963" s="61"/>
      <c r="I2963" s="61"/>
    </row>
    <row r="2964" spans="8:9">
      <c r="H2964" s="61"/>
      <c r="I2964" s="61"/>
    </row>
    <row r="2965" spans="8:9">
      <c r="H2965" s="61"/>
      <c r="I2965" s="61"/>
    </row>
    <row r="2966" spans="8:9">
      <c r="H2966" s="61"/>
      <c r="I2966" s="61"/>
    </row>
    <row r="2967" spans="8:9">
      <c r="H2967" s="61"/>
      <c r="I2967" s="61"/>
    </row>
    <row r="2968" spans="8:9">
      <c r="H2968" s="61"/>
      <c r="I2968" s="61"/>
    </row>
    <row r="2969" spans="8:9">
      <c r="H2969" s="61"/>
      <c r="I2969" s="61"/>
    </row>
    <row r="2970" spans="8:9">
      <c r="H2970" s="61"/>
      <c r="I2970" s="61"/>
    </row>
    <row r="2971" spans="8:9">
      <c r="H2971" s="61"/>
      <c r="I2971" s="61"/>
    </row>
    <row r="2972" spans="8:9">
      <c r="H2972" s="61"/>
      <c r="I2972" s="61"/>
    </row>
    <row r="2973" spans="8:9">
      <c r="H2973" s="61"/>
      <c r="I2973" s="61"/>
    </row>
    <row r="2974" spans="8:9">
      <c r="H2974" s="61"/>
      <c r="I2974" s="61"/>
    </row>
    <row r="2975" spans="8:9">
      <c r="H2975" s="61"/>
      <c r="I2975" s="61"/>
    </row>
    <row r="2976" spans="8:9">
      <c r="H2976" s="61"/>
      <c r="I2976" s="61"/>
    </row>
    <row r="2977" spans="8:9">
      <c r="H2977" s="61"/>
      <c r="I2977" s="61"/>
    </row>
    <row r="2978" spans="8:9">
      <c r="H2978" s="61"/>
      <c r="I2978" s="61"/>
    </row>
    <row r="2979" spans="8:9">
      <c r="H2979" s="61"/>
      <c r="I2979" s="61"/>
    </row>
    <row r="2980" spans="8:9">
      <c r="H2980" s="61"/>
      <c r="I2980" s="61"/>
    </row>
    <row r="2981" spans="8:9">
      <c r="H2981" s="61"/>
      <c r="I2981" s="61"/>
    </row>
    <row r="2982" spans="8:9">
      <c r="H2982" s="61"/>
      <c r="I2982" s="61"/>
    </row>
    <row r="2983" spans="8:9">
      <c r="H2983" s="61"/>
      <c r="I2983" s="61"/>
    </row>
    <row r="2984" spans="8:9">
      <c r="H2984" s="61"/>
      <c r="I2984" s="61"/>
    </row>
    <row r="2985" spans="8:9">
      <c r="H2985" s="61"/>
      <c r="I2985" s="61"/>
    </row>
    <row r="2986" spans="8:9">
      <c r="H2986" s="61"/>
      <c r="I2986" s="61"/>
    </row>
    <row r="2987" spans="8:9">
      <c r="H2987" s="61"/>
      <c r="I2987" s="61"/>
    </row>
    <row r="2988" spans="8:9">
      <c r="H2988" s="61"/>
      <c r="I2988" s="61"/>
    </row>
    <row r="2989" spans="8:9">
      <c r="H2989" s="61"/>
      <c r="I2989" s="61"/>
    </row>
    <row r="2990" spans="8:9">
      <c r="H2990" s="61"/>
      <c r="I2990" s="61"/>
    </row>
    <row r="2991" spans="8:9">
      <c r="H2991" s="61"/>
      <c r="I2991" s="61"/>
    </row>
    <row r="2992" spans="8:9">
      <c r="H2992" s="61"/>
      <c r="I2992" s="61"/>
    </row>
    <row r="2993" spans="8:9">
      <c r="H2993" s="61"/>
      <c r="I2993" s="61"/>
    </row>
    <row r="2994" spans="8:9">
      <c r="H2994" s="61"/>
      <c r="I2994" s="61"/>
    </row>
    <row r="2995" spans="8:9">
      <c r="H2995" s="61"/>
      <c r="I2995" s="61"/>
    </row>
    <row r="2996" spans="8:9">
      <c r="H2996" s="61"/>
      <c r="I2996" s="61"/>
    </row>
    <row r="2997" spans="8:9">
      <c r="H2997" s="61"/>
      <c r="I2997" s="61"/>
    </row>
    <row r="2998" spans="8:9">
      <c r="H2998" s="61"/>
      <c r="I2998" s="61"/>
    </row>
    <row r="2999" spans="8:9">
      <c r="H2999" s="61"/>
      <c r="I2999" s="61"/>
    </row>
    <row r="3000" spans="8:9">
      <c r="H3000" s="61"/>
      <c r="I3000" s="61"/>
    </row>
    <row r="3001" spans="8:9">
      <c r="H3001" s="61"/>
      <c r="I3001" s="61"/>
    </row>
    <row r="3002" spans="8:9">
      <c r="H3002" s="61"/>
      <c r="I3002" s="61"/>
    </row>
    <row r="3003" spans="8:9">
      <c r="H3003" s="61"/>
      <c r="I3003" s="61"/>
    </row>
    <row r="3004" spans="8:9">
      <c r="H3004" s="61"/>
      <c r="I3004" s="61"/>
    </row>
    <row r="3005" spans="8:9">
      <c r="H3005" s="61"/>
      <c r="I3005" s="61"/>
    </row>
    <row r="3006" spans="8:9">
      <c r="H3006" s="61"/>
      <c r="I3006" s="61"/>
    </row>
    <row r="3007" spans="8:9">
      <c r="H3007" s="61"/>
      <c r="I3007" s="61"/>
    </row>
    <row r="3008" spans="8:9">
      <c r="H3008" s="61"/>
      <c r="I3008" s="61"/>
    </row>
    <row r="3009" spans="8:9">
      <c r="H3009" s="61"/>
      <c r="I3009" s="61"/>
    </row>
    <row r="3010" spans="8:9">
      <c r="H3010" s="61"/>
      <c r="I3010" s="61"/>
    </row>
    <row r="3011" spans="8:9">
      <c r="H3011" s="61"/>
      <c r="I3011" s="61"/>
    </row>
    <row r="3012" spans="8:9">
      <c r="H3012" s="61"/>
      <c r="I3012" s="61"/>
    </row>
    <row r="3013" spans="8:9">
      <c r="H3013" s="61"/>
      <c r="I3013" s="61"/>
    </row>
    <row r="3014" spans="8:9">
      <c r="H3014" s="61"/>
      <c r="I3014" s="61"/>
    </row>
    <row r="3015" spans="8:9">
      <c r="H3015" s="61"/>
      <c r="I3015" s="61"/>
    </row>
    <row r="3016" spans="8:9">
      <c r="H3016" s="61"/>
      <c r="I3016" s="61"/>
    </row>
    <row r="3017" spans="8:9">
      <c r="H3017" s="61"/>
      <c r="I3017" s="61"/>
    </row>
    <row r="3018" spans="8:9">
      <c r="H3018" s="61"/>
      <c r="I3018" s="61"/>
    </row>
    <row r="3019" spans="8:9">
      <c r="H3019" s="61"/>
      <c r="I3019" s="61"/>
    </row>
    <row r="3020" spans="8:9">
      <c r="H3020" s="61"/>
      <c r="I3020" s="61"/>
    </row>
    <row r="3021" spans="8:9">
      <c r="H3021" s="61"/>
      <c r="I3021" s="61"/>
    </row>
    <row r="3022" spans="8:9">
      <c r="H3022" s="61"/>
      <c r="I3022" s="61"/>
    </row>
    <row r="3023" spans="8:9">
      <c r="H3023" s="61"/>
      <c r="I3023" s="61"/>
    </row>
    <row r="3024" spans="8:9">
      <c r="H3024" s="61"/>
      <c r="I3024" s="61"/>
    </row>
    <row r="3025" spans="8:9">
      <c r="H3025" s="61"/>
      <c r="I3025" s="61"/>
    </row>
    <row r="3026" spans="8:9">
      <c r="H3026" s="61"/>
      <c r="I3026" s="61"/>
    </row>
    <row r="3027" spans="8:9">
      <c r="H3027" s="61"/>
      <c r="I3027" s="61"/>
    </row>
    <row r="3028" spans="8:9">
      <c r="H3028" s="61"/>
      <c r="I3028" s="61"/>
    </row>
    <row r="3029" spans="8:9">
      <c r="H3029" s="61"/>
      <c r="I3029" s="61"/>
    </row>
    <row r="3030" spans="8:9">
      <c r="H3030" s="61"/>
      <c r="I3030" s="61"/>
    </row>
    <row r="3031" spans="8:9">
      <c r="H3031" s="61"/>
      <c r="I3031" s="61"/>
    </row>
    <row r="3032" spans="8:9">
      <c r="H3032" s="61"/>
      <c r="I3032" s="61"/>
    </row>
    <row r="3033" spans="8:9">
      <c r="H3033" s="61"/>
      <c r="I3033" s="61"/>
    </row>
    <row r="3034" spans="8:9">
      <c r="H3034" s="61"/>
      <c r="I3034" s="61"/>
    </row>
    <row r="3035" spans="8:9">
      <c r="H3035" s="61"/>
      <c r="I3035" s="61"/>
    </row>
    <row r="3036" spans="8:9">
      <c r="H3036" s="61"/>
      <c r="I3036" s="61"/>
    </row>
    <row r="3037" spans="8:9">
      <c r="H3037" s="61"/>
      <c r="I3037" s="61"/>
    </row>
    <row r="3038" spans="8:9">
      <c r="H3038" s="61"/>
      <c r="I3038" s="61"/>
    </row>
    <row r="3039" spans="8:9">
      <c r="H3039" s="61"/>
      <c r="I3039" s="61"/>
    </row>
    <row r="3040" spans="8:9">
      <c r="H3040" s="61"/>
      <c r="I3040" s="61"/>
    </row>
    <row r="3041" spans="8:9">
      <c r="H3041" s="61"/>
      <c r="I3041" s="61"/>
    </row>
    <row r="3042" spans="8:9">
      <c r="H3042" s="61"/>
      <c r="I3042" s="61"/>
    </row>
    <row r="3043" spans="8:9">
      <c r="H3043" s="61"/>
      <c r="I3043" s="61"/>
    </row>
    <row r="3044" spans="8:9">
      <c r="H3044" s="61"/>
      <c r="I3044" s="61"/>
    </row>
    <row r="3045" spans="8:9">
      <c r="H3045" s="61"/>
      <c r="I3045" s="61"/>
    </row>
    <row r="3046" spans="8:9">
      <c r="H3046" s="61"/>
      <c r="I3046" s="61"/>
    </row>
    <row r="3047" spans="8:9">
      <c r="H3047" s="61"/>
      <c r="I3047" s="61"/>
    </row>
    <row r="3048" spans="8:9">
      <c r="H3048" s="61"/>
      <c r="I3048" s="61"/>
    </row>
    <row r="3049" spans="8:9">
      <c r="H3049" s="61"/>
      <c r="I3049" s="61"/>
    </row>
    <row r="3050" spans="8:9">
      <c r="H3050" s="61"/>
      <c r="I3050" s="61"/>
    </row>
    <row r="3051" spans="8:9">
      <c r="H3051" s="61"/>
      <c r="I3051" s="61"/>
    </row>
    <row r="3052" spans="8:9">
      <c r="H3052" s="61"/>
      <c r="I3052" s="61"/>
    </row>
    <row r="3053" spans="8:9">
      <c r="H3053" s="61"/>
      <c r="I3053" s="61"/>
    </row>
    <row r="3054" spans="8:9">
      <c r="H3054" s="61"/>
      <c r="I3054" s="61"/>
    </row>
    <row r="3055" spans="8:9">
      <c r="H3055" s="61"/>
      <c r="I3055" s="61"/>
    </row>
    <row r="3056" spans="8:9">
      <c r="H3056" s="61"/>
      <c r="I3056" s="61"/>
    </row>
    <row r="3057" spans="8:9">
      <c r="H3057" s="61"/>
      <c r="I3057" s="61"/>
    </row>
    <row r="3058" spans="8:9">
      <c r="H3058" s="61"/>
      <c r="I3058" s="61"/>
    </row>
    <row r="3059" spans="8:9">
      <c r="H3059" s="61"/>
      <c r="I3059" s="61"/>
    </row>
    <row r="3060" spans="8:9">
      <c r="H3060" s="61"/>
      <c r="I3060" s="61"/>
    </row>
    <row r="3061" spans="8:9">
      <c r="H3061" s="61"/>
      <c r="I3061" s="61"/>
    </row>
    <row r="3062" spans="8:9">
      <c r="H3062" s="61"/>
      <c r="I3062" s="61"/>
    </row>
    <row r="3063" spans="8:9">
      <c r="H3063" s="61"/>
      <c r="I3063" s="61"/>
    </row>
    <row r="3064" spans="8:9">
      <c r="H3064" s="61"/>
      <c r="I3064" s="61"/>
    </row>
    <row r="3065" spans="8:9">
      <c r="H3065" s="61"/>
      <c r="I3065" s="61"/>
    </row>
    <row r="3066" spans="8:9">
      <c r="H3066" s="61"/>
      <c r="I3066" s="61"/>
    </row>
    <row r="3067" spans="8:9">
      <c r="H3067" s="61"/>
      <c r="I3067" s="61"/>
    </row>
    <row r="3068" spans="8:9">
      <c r="H3068" s="61"/>
      <c r="I3068" s="61"/>
    </row>
    <row r="3069" spans="8:9">
      <c r="H3069" s="61"/>
      <c r="I3069" s="61"/>
    </row>
    <row r="3070" spans="8:9">
      <c r="H3070" s="61"/>
      <c r="I3070" s="61"/>
    </row>
    <row r="3071" spans="8:9">
      <c r="H3071" s="61"/>
      <c r="I3071" s="61"/>
    </row>
    <row r="3072" spans="8:9">
      <c r="H3072" s="61"/>
      <c r="I3072" s="61"/>
    </row>
    <row r="3073" spans="8:9">
      <c r="H3073" s="61"/>
      <c r="I3073" s="61"/>
    </row>
    <row r="3074" spans="8:9">
      <c r="H3074" s="61"/>
      <c r="I3074" s="61"/>
    </row>
    <row r="3075" spans="8:9">
      <c r="H3075" s="61"/>
      <c r="I3075" s="61"/>
    </row>
    <row r="3076" spans="8:9">
      <c r="H3076" s="61"/>
      <c r="I3076" s="61"/>
    </row>
    <row r="3077" spans="8:9">
      <c r="H3077" s="61"/>
      <c r="I3077" s="61"/>
    </row>
    <row r="3078" spans="8:9">
      <c r="H3078" s="61"/>
      <c r="I3078" s="61"/>
    </row>
    <row r="3079" spans="8:9">
      <c r="H3079" s="61"/>
      <c r="I3079" s="61"/>
    </row>
    <row r="3080" spans="8:9">
      <c r="H3080" s="61"/>
      <c r="I3080" s="61"/>
    </row>
    <row r="3081" spans="8:9">
      <c r="H3081" s="61"/>
      <c r="I3081" s="61"/>
    </row>
    <row r="3082" spans="8:9">
      <c r="H3082" s="61"/>
      <c r="I3082" s="61"/>
    </row>
    <row r="3083" spans="8:9">
      <c r="H3083" s="61"/>
      <c r="I3083" s="61"/>
    </row>
    <row r="3084" spans="8:9">
      <c r="H3084" s="61"/>
      <c r="I3084" s="61"/>
    </row>
    <row r="3085" spans="8:9">
      <c r="H3085" s="61"/>
      <c r="I3085" s="61"/>
    </row>
    <row r="3086" spans="8:9">
      <c r="H3086" s="61"/>
      <c r="I3086" s="61"/>
    </row>
    <row r="3087" spans="8:9">
      <c r="H3087" s="61"/>
      <c r="I3087" s="61"/>
    </row>
    <row r="3088" spans="8:9">
      <c r="H3088" s="61"/>
      <c r="I3088" s="61"/>
    </row>
    <row r="3089" spans="8:9">
      <c r="H3089" s="61"/>
      <c r="I3089" s="61"/>
    </row>
    <row r="3090" spans="8:9">
      <c r="H3090" s="61"/>
      <c r="I3090" s="61"/>
    </row>
    <row r="3091" spans="8:9">
      <c r="H3091" s="61"/>
      <c r="I3091" s="61"/>
    </row>
    <row r="3092" spans="8:9">
      <c r="H3092" s="61"/>
      <c r="I3092" s="61"/>
    </row>
    <row r="3093" spans="8:9">
      <c r="H3093" s="61"/>
      <c r="I3093" s="61"/>
    </row>
    <row r="3094" spans="8:9">
      <c r="H3094" s="61"/>
      <c r="I3094" s="61"/>
    </row>
    <row r="3095" spans="8:9">
      <c r="H3095" s="61"/>
      <c r="I3095" s="61"/>
    </row>
    <row r="3096" spans="8:9">
      <c r="H3096" s="61"/>
      <c r="I3096" s="61"/>
    </row>
    <row r="3097" spans="8:9">
      <c r="H3097" s="61"/>
      <c r="I3097" s="61"/>
    </row>
    <row r="3098" spans="8:9">
      <c r="H3098" s="61"/>
      <c r="I3098" s="61"/>
    </row>
    <row r="3099" spans="8:9">
      <c r="H3099" s="61"/>
      <c r="I3099" s="61"/>
    </row>
    <row r="3100" spans="8:9">
      <c r="H3100" s="61"/>
      <c r="I3100" s="61"/>
    </row>
    <row r="3101" spans="8:9">
      <c r="H3101" s="61"/>
      <c r="I3101" s="61"/>
    </row>
    <row r="3102" spans="8:9">
      <c r="H3102" s="61"/>
      <c r="I3102" s="61"/>
    </row>
    <row r="3103" spans="8:9">
      <c r="H3103" s="61"/>
      <c r="I3103" s="61"/>
    </row>
    <row r="3104" spans="8:9">
      <c r="H3104" s="61"/>
      <c r="I3104" s="61"/>
    </row>
    <row r="3105" spans="8:9">
      <c r="H3105" s="61"/>
      <c r="I3105" s="61"/>
    </row>
    <row r="3106" spans="8:9">
      <c r="H3106" s="61"/>
      <c r="I3106" s="61"/>
    </row>
    <row r="3107" spans="8:9">
      <c r="H3107" s="61"/>
      <c r="I3107" s="61"/>
    </row>
    <row r="3108" spans="8:9">
      <c r="H3108" s="61"/>
      <c r="I3108" s="61"/>
    </row>
    <row r="3109" spans="8:9">
      <c r="H3109" s="61"/>
      <c r="I3109" s="61"/>
    </row>
    <row r="3110" spans="8:9">
      <c r="H3110" s="61"/>
      <c r="I3110" s="61"/>
    </row>
    <row r="3111" spans="8:9">
      <c r="H3111" s="61"/>
      <c r="I3111" s="61"/>
    </row>
    <row r="3112" spans="8:9">
      <c r="H3112" s="61"/>
      <c r="I3112" s="61"/>
    </row>
    <row r="3113" spans="8:9">
      <c r="H3113" s="61"/>
      <c r="I3113" s="61"/>
    </row>
    <row r="3114" spans="8:9">
      <c r="H3114" s="61"/>
      <c r="I3114" s="61"/>
    </row>
    <row r="3115" spans="8:9">
      <c r="H3115" s="61"/>
      <c r="I3115" s="61"/>
    </row>
    <row r="3116" spans="8:9">
      <c r="H3116" s="61"/>
      <c r="I3116" s="61"/>
    </row>
    <row r="3117" spans="8:9">
      <c r="H3117" s="61"/>
      <c r="I3117" s="61"/>
    </row>
    <row r="3118" spans="8:9">
      <c r="H3118" s="61"/>
      <c r="I3118" s="61"/>
    </row>
    <row r="3119" spans="8:9">
      <c r="H3119" s="61"/>
      <c r="I3119" s="61"/>
    </row>
    <row r="3120" spans="8:9">
      <c r="H3120" s="61"/>
      <c r="I3120" s="61"/>
    </row>
    <row r="3121" spans="8:9">
      <c r="H3121" s="61"/>
      <c r="I3121" s="61"/>
    </row>
    <row r="3122" spans="8:9">
      <c r="H3122" s="61"/>
      <c r="I3122" s="61"/>
    </row>
    <row r="3123" spans="8:9">
      <c r="H3123" s="61"/>
      <c r="I3123" s="61"/>
    </row>
    <row r="3124" spans="8:9">
      <c r="H3124" s="61"/>
      <c r="I3124" s="61"/>
    </row>
    <row r="3125" spans="8:9">
      <c r="H3125" s="61"/>
      <c r="I3125" s="61"/>
    </row>
    <row r="3126" spans="8:9">
      <c r="H3126" s="61"/>
      <c r="I3126" s="61"/>
    </row>
    <row r="3127" spans="8:9">
      <c r="H3127" s="61"/>
      <c r="I3127" s="61"/>
    </row>
    <row r="3128" spans="8:9">
      <c r="H3128" s="61"/>
      <c r="I3128" s="61"/>
    </row>
    <row r="3129" spans="8:9">
      <c r="H3129" s="61"/>
      <c r="I3129" s="61"/>
    </row>
    <row r="3130" spans="8:9">
      <c r="H3130" s="61"/>
      <c r="I3130" s="61"/>
    </row>
    <row r="3131" spans="8:9">
      <c r="H3131" s="61"/>
      <c r="I3131" s="61"/>
    </row>
    <row r="3132" spans="8:9">
      <c r="H3132" s="61"/>
      <c r="I3132" s="61"/>
    </row>
    <row r="3133" spans="8:9">
      <c r="H3133" s="61"/>
      <c r="I3133" s="61"/>
    </row>
    <row r="3134" spans="8:9">
      <c r="H3134" s="61"/>
      <c r="I3134" s="61"/>
    </row>
    <row r="3135" spans="8:9">
      <c r="H3135" s="61"/>
      <c r="I3135" s="61"/>
    </row>
    <row r="3136" spans="8:9">
      <c r="H3136" s="61"/>
      <c r="I3136" s="61"/>
    </row>
    <row r="3137" spans="8:9">
      <c r="H3137" s="61"/>
      <c r="I3137" s="61"/>
    </row>
    <row r="3138" spans="8:9">
      <c r="H3138" s="61"/>
      <c r="I3138" s="61"/>
    </row>
    <row r="3139" spans="8:9">
      <c r="H3139" s="61"/>
      <c r="I3139" s="61"/>
    </row>
    <row r="3140" spans="8:9">
      <c r="H3140" s="61"/>
      <c r="I3140" s="61"/>
    </row>
    <row r="3141" spans="8:9">
      <c r="H3141" s="61"/>
      <c r="I3141" s="61"/>
    </row>
    <row r="3142" spans="8:9">
      <c r="H3142" s="61"/>
      <c r="I3142" s="61"/>
    </row>
    <row r="3143" spans="8:9">
      <c r="H3143" s="61"/>
      <c r="I3143" s="61"/>
    </row>
    <row r="3144" spans="8:9">
      <c r="H3144" s="61"/>
      <c r="I3144" s="61"/>
    </row>
    <row r="3145" spans="8:9">
      <c r="H3145" s="61"/>
      <c r="I3145" s="61"/>
    </row>
    <row r="3146" spans="8:9">
      <c r="H3146" s="61"/>
      <c r="I3146" s="61"/>
    </row>
    <row r="3147" spans="8:9">
      <c r="H3147" s="61"/>
      <c r="I3147" s="61"/>
    </row>
    <row r="3148" spans="8:9">
      <c r="H3148" s="61"/>
      <c r="I3148" s="61"/>
    </row>
    <row r="3149" spans="8:9">
      <c r="H3149" s="61"/>
      <c r="I3149" s="61"/>
    </row>
    <row r="3150" spans="8:9">
      <c r="H3150" s="61"/>
      <c r="I3150" s="61"/>
    </row>
    <row r="3151" spans="8:9">
      <c r="H3151" s="61"/>
      <c r="I3151" s="61"/>
    </row>
    <row r="3152" spans="8:9">
      <c r="H3152" s="61"/>
      <c r="I3152" s="61"/>
    </row>
    <row r="3153" spans="8:9">
      <c r="H3153" s="61"/>
      <c r="I3153" s="61"/>
    </row>
    <row r="3154" spans="8:9">
      <c r="H3154" s="61"/>
      <c r="I3154" s="61"/>
    </row>
    <row r="3155" spans="8:9">
      <c r="H3155" s="61"/>
      <c r="I3155" s="61"/>
    </row>
    <row r="3156" spans="8:9">
      <c r="H3156" s="61"/>
      <c r="I3156" s="61"/>
    </row>
    <row r="3157" spans="8:9">
      <c r="H3157" s="61"/>
      <c r="I3157" s="61"/>
    </row>
    <row r="3158" spans="8:9">
      <c r="H3158" s="61"/>
      <c r="I3158" s="61"/>
    </row>
    <row r="3159" spans="8:9">
      <c r="H3159" s="61"/>
      <c r="I3159" s="61"/>
    </row>
    <row r="3160" spans="8:9">
      <c r="H3160" s="61"/>
      <c r="I3160" s="61"/>
    </row>
    <row r="3161" spans="8:9">
      <c r="H3161" s="61"/>
      <c r="I3161" s="61"/>
    </row>
    <row r="3162" spans="8:9">
      <c r="H3162" s="61"/>
      <c r="I3162" s="61"/>
    </row>
    <row r="3163" spans="8:9">
      <c r="H3163" s="61"/>
      <c r="I3163" s="61"/>
    </row>
    <row r="3164" spans="8:9">
      <c r="H3164" s="61"/>
      <c r="I3164" s="61"/>
    </row>
    <row r="3165" spans="8:9">
      <c r="H3165" s="61"/>
      <c r="I3165" s="61"/>
    </row>
    <row r="3166" spans="8:9">
      <c r="H3166" s="61"/>
      <c r="I3166" s="61"/>
    </row>
    <row r="3167" spans="8:9">
      <c r="H3167" s="61"/>
      <c r="I3167" s="61"/>
    </row>
    <row r="3168" spans="8:9">
      <c r="H3168" s="61"/>
      <c r="I3168" s="61"/>
    </row>
    <row r="3169" spans="8:9">
      <c r="H3169" s="61"/>
      <c r="I3169" s="61"/>
    </row>
    <row r="3170" spans="8:9">
      <c r="H3170" s="61"/>
      <c r="I3170" s="61"/>
    </row>
    <row r="3171" spans="8:9">
      <c r="H3171" s="61"/>
      <c r="I3171" s="61"/>
    </row>
    <row r="3172" spans="8:9">
      <c r="H3172" s="61"/>
      <c r="I3172" s="61"/>
    </row>
    <row r="3173" spans="8:9">
      <c r="H3173" s="61"/>
      <c r="I3173" s="61"/>
    </row>
    <row r="3174" spans="8:9">
      <c r="H3174" s="61"/>
      <c r="I3174" s="61"/>
    </row>
    <row r="3175" spans="8:9">
      <c r="H3175" s="61"/>
      <c r="I3175" s="61"/>
    </row>
    <row r="3176" spans="8:9">
      <c r="H3176" s="61"/>
      <c r="I3176" s="61"/>
    </row>
    <row r="3177" spans="8:9">
      <c r="H3177" s="61"/>
      <c r="I3177" s="61"/>
    </row>
    <row r="3178" spans="8:9">
      <c r="H3178" s="61"/>
      <c r="I3178" s="61"/>
    </row>
    <row r="3179" spans="8:9">
      <c r="H3179" s="61"/>
      <c r="I3179" s="61"/>
    </row>
    <row r="3180" spans="8:9">
      <c r="H3180" s="61"/>
      <c r="I3180" s="61"/>
    </row>
    <row r="3181" spans="8:9">
      <c r="H3181" s="61"/>
      <c r="I3181" s="61"/>
    </row>
    <row r="3182" spans="8:9">
      <c r="H3182" s="61"/>
      <c r="I3182" s="61"/>
    </row>
    <row r="3183" spans="8:9">
      <c r="H3183" s="61"/>
      <c r="I3183" s="61"/>
    </row>
    <row r="3184" spans="8:9">
      <c r="H3184" s="61"/>
      <c r="I3184" s="61"/>
    </row>
    <row r="3185" spans="8:9">
      <c r="H3185" s="61"/>
      <c r="I3185" s="61"/>
    </row>
    <row r="3186" spans="8:9">
      <c r="H3186" s="61"/>
      <c r="I3186" s="61"/>
    </row>
    <row r="3187" spans="8:9">
      <c r="H3187" s="61"/>
      <c r="I3187" s="61"/>
    </row>
    <row r="3188" spans="8:9">
      <c r="H3188" s="61"/>
      <c r="I3188" s="61"/>
    </row>
    <row r="3189" spans="8:9">
      <c r="H3189" s="61"/>
      <c r="I3189" s="61"/>
    </row>
    <row r="3190" spans="8:9">
      <c r="H3190" s="61"/>
      <c r="I3190" s="61"/>
    </row>
    <row r="3191" spans="8:9">
      <c r="H3191" s="61"/>
      <c r="I3191" s="61"/>
    </row>
    <row r="3192" spans="8:9">
      <c r="H3192" s="61"/>
      <c r="I3192" s="61"/>
    </row>
    <row r="3193" spans="8:9">
      <c r="H3193" s="61"/>
      <c r="I3193" s="61"/>
    </row>
    <row r="3194" spans="8:9">
      <c r="H3194" s="61"/>
      <c r="I3194" s="61"/>
    </row>
    <row r="3195" spans="8:9">
      <c r="H3195" s="61"/>
      <c r="I3195" s="61"/>
    </row>
    <row r="3196" spans="8:9">
      <c r="H3196" s="61"/>
      <c r="I3196" s="61"/>
    </row>
    <row r="3197" spans="8:9">
      <c r="H3197" s="61"/>
      <c r="I3197" s="61"/>
    </row>
    <row r="3198" spans="8:9">
      <c r="H3198" s="61"/>
      <c r="I3198" s="61"/>
    </row>
    <row r="3199" spans="8:9">
      <c r="H3199" s="61"/>
      <c r="I3199" s="61"/>
    </row>
    <row r="3200" spans="8:9">
      <c r="H3200" s="61"/>
      <c r="I3200" s="61"/>
    </row>
    <row r="3201" spans="8:9">
      <c r="H3201" s="61"/>
      <c r="I3201" s="61"/>
    </row>
    <row r="3202" spans="8:9">
      <c r="H3202" s="61"/>
      <c r="I3202" s="61"/>
    </row>
    <row r="3203" spans="8:9">
      <c r="H3203" s="61"/>
      <c r="I3203" s="61"/>
    </row>
    <row r="3204" spans="8:9">
      <c r="H3204" s="61"/>
      <c r="I3204" s="61"/>
    </row>
    <row r="3205" spans="8:9">
      <c r="H3205" s="61"/>
      <c r="I3205" s="61"/>
    </row>
    <row r="3206" spans="8:9">
      <c r="H3206" s="61"/>
      <c r="I3206" s="61"/>
    </row>
    <row r="3207" spans="8:9">
      <c r="H3207" s="61"/>
      <c r="I3207" s="61"/>
    </row>
    <row r="3208" spans="8:9">
      <c r="H3208" s="61"/>
      <c r="I3208" s="61"/>
    </row>
    <row r="3209" spans="8:9">
      <c r="H3209" s="61"/>
      <c r="I3209" s="61"/>
    </row>
    <row r="3210" spans="8:9">
      <c r="H3210" s="61"/>
      <c r="I3210" s="61"/>
    </row>
    <row r="3211" spans="8:9">
      <c r="H3211" s="61"/>
      <c r="I3211" s="61"/>
    </row>
    <row r="3212" spans="8:9">
      <c r="H3212" s="61"/>
      <c r="I3212" s="61"/>
    </row>
    <row r="3213" spans="8:9">
      <c r="H3213" s="61"/>
      <c r="I3213" s="61"/>
    </row>
    <row r="3214" spans="8:9">
      <c r="H3214" s="61"/>
      <c r="I3214" s="61"/>
    </row>
    <row r="3215" spans="8:9">
      <c r="H3215" s="61"/>
      <c r="I3215" s="61"/>
    </row>
    <row r="3216" spans="8:9">
      <c r="H3216" s="61"/>
      <c r="I3216" s="61"/>
    </row>
    <row r="3217" spans="8:9">
      <c r="H3217" s="61"/>
      <c r="I3217" s="61"/>
    </row>
    <row r="3218" spans="8:9">
      <c r="H3218" s="61"/>
      <c r="I3218" s="61"/>
    </row>
    <row r="3219" spans="8:9">
      <c r="H3219" s="61"/>
      <c r="I3219" s="61"/>
    </row>
    <row r="3220" spans="8:9">
      <c r="H3220" s="61"/>
      <c r="I3220" s="61"/>
    </row>
    <row r="3221" spans="8:9">
      <c r="H3221" s="61"/>
      <c r="I3221" s="61"/>
    </row>
    <row r="3222" spans="8:9">
      <c r="H3222" s="61"/>
      <c r="I3222" s="61"/>
    </row>
    <row r="3223" spans="8:9">
      <c r="H3223" s="61"/>
      <c r="I3223" s="61"/>
    </row>
    <row r="3224" spans="8:9">
      <c r="H3224" s="61"/>
      <c r="I3224" s="61"/>
    </row>
    <row r="3225" spans="8:9">
      <c r="H3225" s="61"/>
      <c r="I3225" s="61"/>
    </row>
    <row r="3226" spans="8:9">
      <c r="H3226" s="61"/>
      <c r="I3226" s="61"/>
    </row>
    <row r="3227" spans="8:9">
      <c r="H3227" s="61"/>
      <c r="I3227" s="61"/>
    </row>
    <row r="3228" spans="8:9">
      <c r="H3228" s="61"/>
      <c r="I3228" s="61"/>
    </row>
    <row r="3229" spans="8:9">
      <c r="H3229" s="61"/>
      <c r="I3229" s="61"/>
    </row>
    <row r="3230" spans="8:9">
      <c r="H3230" s="61"/>
      <c r="I3230" s="61"/>
    </row>
    <row r="3231" spans="8:9">
      <c r="H3231" s="61"/>
      <c r="I3231" s="61"/>
    </row>
    <row r="3232" spans="8:9">
      <c r="H3232" s="61"/>
      <c r="I3232" s="61"/>
    </row>
    <row r="3233" spans="8:9">
      <c r="H3233" s="61"/>
      <c r="I3233" s="61"/>
    </row>
    <row r="3234" spans="8:9">
      <c r="H3234" s="61"/>
      <c r="I3234" s="61"/>
    </row>
    <row r="3235" spans="8:9">
      <c r="H3235" s="61"/>
      <c r="I3235" s="61"/>
    </row>
    <row r="3236" spans="8:9">
      <c r="H3236" s="61"/>
      <c r="I3236" s="61"/>
    </row>
    <row r="3237" spans="8:9">
      <c r="H3237" s="61"/>
      <c r="I3237" s="61"/>
    </row>
    <row r="3238" spans="8:9">
      <c r="H3238" s="61"/>
      <c r="I3238" s="61"/>
    </row>
    <row r="3239" spans="8:9">
      <c r="H3239" s="61"/>
      <c r="I3239" s="61"/>
    </row>
    <row r="3240" spans="8:9">
      <c r="H3240" s="61"/>
      <c r="I3240" s="61"/>
    </row>
    <row r="3241" spans="8:9">
      <c r="H3241" s="61"/>
      <c r="I3241" s="61"/>
    </row>
    <row r="3242" spans="8:9">
      <c r="H3242" s="61"/>
      <c r="I3242" s="61"/>
    </row>
    <row r="3243" spans="8:9">
      <c r="H3243" s="61"/>
      <c r="I3243" s="61"/>
    </row>
    <row r="3244" spans="8:9">
      <c r="H3244" s="61"/>
      <c r="I3244" s="61"/>
    </row>
    <row r="3245" spans="8:9">
      <c r="H3245" s="61"/>
      <c r="I3245" s="61"/>
    </row>
    <row r="3246" spans="8:9">
      <c r="H3246" s="61"/>
      <c r="I3246" s="61"/>
    </row>
    <row r="3247" spans="8:9">
      <c r="H3247" s="61"/>
      <c r="I3247" s="61"/>
    </row>
    <row r="3248" spans="8:9">
      <c r="H3248" s="61"/>
      <c r="I3248" s="61"/>
    </row>
    <row r="3249" spans="8:9">
      <c r="H3249" s="61"/>
      <c r="I3249" s="61"/>
    </row>
    <row r="3250" spans="8:9">
      <c r="H3250" s="61"/>
      <c r="I3250" s="61"/>
    </row>
    <row r="3251" spans="8:9">
      <c r="H3251" s="61"/>
      <c r="I3251" s="61"/>
    </row>
    <row r="3252" spans="8:9">
      <c r="H3252" s="61"/>
      <c r="I3252" s="61"/>
    </row>
    <row r="3253" spans="8:9">
      <c r="H3253" s="61"/>
      <c r="I3253" s="61"/>
    </row>
    <row r="3254" spans="8:9">
      <c r="H3254" s="61"/>
      <c r="I3254" s="61"/>
    </row>
    <row r="3255" spans="8:9">
      <c r="H3255" s="61"/>
      <c r="I3255" s="61"/>
    </row>
    <row r="3256" spans="8:9">
      <c r="H3256" s="61"/>
      <c r="I3256" s="61"/>
    </row>
    <row r="3257" spans="8:9">
      <c r="H3257" s="61"/>
      <c r="I3257" s="61"/>
    </row>
    <row r="3258" spans="8:9">
      <c r="H3258" s="61"/>
      <c r="I3258" s="61"/>
    </row>
    <row r="3259" spans="8:9">
      <c r="H3259" s="61"/>
      <c r="I3259" s="61"/>
    </row>
    <row r="3260" spans="8:9">
      <c r="H3260" s="61"/>
      <c r="I3260" s="61"/>
    </row>
    <row r="3261" spans="8:9">
      <c r="H3261" s="61"/>
      <c r="I3261" s="61"/>
    </row>
    <row r="3262" spans="8:9">
      <c r="H3262" s="61"/>
      <c r="I3262" s="61"/>
    </row>
    <row r="3263" spans="8:9">
      <c r="H3263" s="61"/>
      <c r="I3263" s="61"/>
    </row>
    <row r="3264" spans="8:9">
      <c r="H3264" s="61"/>
      <c r="I3264" s="61"/>
    </row>
    <row r="3265" spans="8:9">
      <c r="H3265" s="61"/>
      <c r="I3265" s="61"/>
    </row>
    <row r="3266" spans="8:9">
      <c r="H3266" s="61"/>
      <c r="I3266" s="61"/>
    </row>
    <row r="3267" spans="8:9">
      <c r="H3267" s="61"/>
      <c r="I3267" s="61"/>
    </row>
    <row r="3268" spans="8:9">
      <c r="H3268" s="61"/>
      <c r="I3268" s="61"/>
    </row>
    <row r="3269" spans="8:9">
      <c r="H3269" s="61"/>
      <c r="I3269" s="61"/>
    </row>
    <row r="3270" spans="8:9">
      <c r="H3270" s="61"/>
      <c r="I3270" s="61"/>
    </row>
    <row r="3271" spans="8:9">
      <c r="H3271" s="61"/>
      <c r="I3271" s="61"/>
    </row>
    <row r="3272" spans="8:9">
      <c r="H3272" s="61"/>
      <c r="I3272" s="61"/>
    </row>
    <row r="3273" spans="8:9">
      <c r="H3273" s="61"/>
      <c r="I3273" s="61"/>
    </row>
    <row r="3274" spans="8:9">
      <c r="H3274" s="61"/>
      <c r="I3274" s="61"/>
    </row>
    <row r="3275" spans="8:9">
      <c r="H3275" s="61"/>
      <c r="I3275" s="61"/>
    </row>
    <row r="3276" spans="8:9">
      <c r="H3276" s="61"/>
      <c r="I3276" s="61"/>
    </row>
    <row r="3277" spans="8:9">
      <c r="H3277" s="61"/>
      <c r="I3277" s="61"/>
    </row>
    <row r="3278" spans="8:9">
      <c r="H3278" s="61"/>
      <c r="I3278" s="61"/>
    </row>
    <row r="3279" spans="8:9">
      <c r="H3279" s="61"/>
      <c r="I3279" s="61"/>
    </row>
    <row r="3280" spans="8:9">
      <c r="H3280" s="61"/>
      <c r="I3280" s="61"/>
    </row>
    <row r="3281" spans="8:9">
      <c r="H3281" s="61"/>
      <c r="I3281" s="61"/>
    </row>
    <row r="3282" spans="8:9">
      <c r="H3282" s="61"/>
      <c r="I3282" s="61"/>
    </row>
    <row r="3283" spans="8:9">
      <c r="H3283" s="61"/>
      <c r="I3283" s="61"/>
    </row>
    <row r="3284" spans="8:9">
      <c r="H3284" s="61"/>
      <c r="I3284" s="61"/>
    </row>
    <row r="3285" spans="8:9">
      <c r="H3285" s="61"/>
      <c r="I3285" s="61"/>
    </row>
    <row r="3286" spans="8:9">
      <c r="H3286" s="61"/>
      <c r="I3286" s="61"/>
    </row>
    <row r="3287" spans="8:9">
      <c r="H3287" s="61"/>
      <c r="I3287" s="61"/>
    </row>
    <row r="3288" spans="8:9">
      <c r="H3288" s="61"/>
      <c r="I3288" s="61"/>
    </row>
    <row r="3289" spans="8:9">
      <c r="H3289" s="61"/>
      <c r="I3289" s="61"/>
    </row>
    <row r="3290" spans="8:9">
      <c r="H3290" s="61"/>
      <c r="I3290" s="61"/>
    </row>
    <row r="3291" spans="8:9">
      <c r="H3291" s="61"/>
      <c r="I3291" s="61"/>
    </row>
    <row r="3292" spans="8:9">
      <c r="H3292" s="61"/>
      <c r="I3292" s="61"/>
    </row>
    <row r="3293" spans="8:9">
      <c r="H3293" s="61"/>
      <c r="I3293" s="61"/>
    </row>
    <row r="3294" spans="8:9">
      <c r="H3294" s="61"/>
      <c r="I3294" s="61"/>
    </row>
    <row r="3295" spans="8:9">
      <c r="H3295" s="61"/>
      <c r="I3295" s="61"/>
    </row>
    <row r="3296" spans="8:9">
      <c r="H3296" s="61"/>
      <c r="I3296" s="61"/>
    </row>
    <row r="3297" spans="8:9">
      <c r="H3297" s="61"/>
      <c r="I3297" s="61"/>
    </row>
    <row r="3298" spans="8:9">
      <c r="H3298" s="61"/>
      <c r="I3298" s="61"/>
    </row>
    <row r="3299" spans="8:9">
      <c r="H3299" s="61"/>
      <c r="I3299" s="61"/>
    </row>
    <row r="3300" spans="8:9">
      <c r="H3300" s="61"/>
      <c r="I3300" s="61"/>
    </row>
    <row r="3301" spans="8:9">
      <c r="H3301" s="61"/>
      <c r="I3301" s="61"/>
    </row>
    <row r="3302" spans="8:9">
      <c r="H3302" s="61"/>
      <c r="I3302" s="61"/>
    </row>
    <row r="3303" spans="8:9">
      <c r="H3303" s="61"/>
      <c r="I3303" s="61"/>
    </row>
    <row r="3304" spans="8:9">
      <c r="H3304" s="61"/>
      <c r="I3304" s="61"/>
    </row>
    <row r="3305" spans="8:9">
      <c r="H3305" s="61"/>
      <c r="I3305" s="61"/>
    </row>
    <row r="3306" spans="8:9">
      <c r="H3306" s="61"/>
      <c r="I3306" s="61"/>
    </row>
    <row r="3307" spans="8:9">
      <c r="H3307" s="61"/>
      <c r="I3307" s="61"/>
    </row>
    <row r="3308" spans="8:9">
      <c r="H3308" s="61"/>
      <c r="I3308" s="61"/>
    </row>
    <row r="3309" spans="8:9">
      <c r="H3309" s="61"/>
      <c r="I3309" s="61"/>
    </row>
    <row r="3310" spans="8:9">
      <c r="H3310" s="61"/>
      <c r="I3310" s="61"/>
    </row>
    <row r="3311" spans="8:9">
      <c r="H3311" s="61"/>
      <c r="I3311" s="61"/>
    </row>
    <row r="3312" spans="8:9">
      <c r="H3312" s="61"/>
      <c r="I3312" s="61"/>
    </row>
    <row r="3313" spans="8:9">
      <c r="H3313" s="61"/>
      <c r="I3313" s="61"/>
    </row>
    <row r="3314" spans="8:9">
      <c r="H3314" s="61"/>
      <c r="I3314" s="61"/>
    </row>
    <row r="3315" spans="8:9">
      <c r="H3315" s="61"/>
      <c r="I3315" s="61"/>
    </row>
    <row r="3316" spans="8:9">
      <c r="H3316" s="61"/>
      <c r="I3316" s="61"/>
    </row>
    <row r="3317" spans="8:9">
      <c r="H3317" s="61"/>
      <c r="I3317" s="61"/>
    </row>
    <row r="3318" spans="8:9">
      <c r="H3318" s="61"/>
      <c r="I3318" s="61"/>
    </row>
    <row r="3319" spans="8:9">
      <c r="H3319" s="61"/>
      <c r="I3319" s="61"/>
    </row>
    <row r="3320" spans="8:9">
      <c r="H3320" s="61"/>
      <c r="I3320" s="61"/>
    </row>
    <row r="3321" spans="8:9">
      <c r="H3321" s="61"/>
      <c r="I3321" s="61"/>
    </row>
    <row r="3322" spans="8:9">
      <c r="H3322" s="61"/>
      <c r="I3322" s="61"/>
    </row>
    <row r="3323" spans="8:9">
      <c r="H3323" s="61"/>
      <c r="I3323" s="61"/>
    </row>
    <row r="3324" spans="8:9">
      <c r="H3324" s="61"/>
      <c r="I3324" s="61"/>
    </row>
    <row r="3325" spans="8:9">
      <c r="H3325" s="61"/>
      <c r="I3325" s="61"/>
    </row>
    <row r="3326" spans="8:9">
      <c r="H3326" s="61"/>
      <c r="I3326" s="61"/>
    </row>
    <row r="3327" spans="8:9">
      <c r="H3327" s="61"/>
      <c r="I3327" s="61"/>
    </row>
    <row r="3328" spans="8:9">
      <c r="H3328" s="61"/>
      <c r="I3328" s="61"/>
    </row>
    <row r="3329" spans="8:9">
      <c r="H3329" s="61"/>
      <c r="I3329" s="61"/>
    </row>
    <row r="3330" spans="8:9">
      <c r="H3330" s="61"/>
      <c r="I3330" s="61"/>
    </row>
    <row r="3331" spans="8:9">
      <c r="H3331" s="61"/>
      <c r="I3331" s="61"/>
    </row>
    <row r="3332" spans="8:9">
      <c r="H3332" s="61"/>
      <c r="I3332" s="61"/>
    </row>
    <row r="3333" spans="8:9">
      <c r="H3333" s="61"/>
      <c r="I3333" s="61"/>
    </row>
    <row r="3334" spans="8:9">
      <c r="H3334" s="61"/>
      <c r="I3334" s="61"/>
    </row>
    <row r="3335" spans="8:9">
      <c r="H3335" s="61"/>
      <c r="I3335" s="61"/>
    </row>
    <row r="3336" spans="8:9">
      <c r="H3336" s="61"/>
      <c r="I3336" s="61"/>
    </row>
    <row r="3337" spans="8:9">
      <c r="H3337" s="61"/>
      <c r="I3337" s="61"/>
    </row>
    <row r="3338" spans="8:9">
      <c r="H3338" s="61"/>
      <c r="I3338" s="61"/>
    </row>
    <row r="3339" spans="8:9">
      <c r="H3339" s="61"/>
      <c r="I3339" s="61"/>
    </row>
    <row r="3340" spans="8:9">
      <c r="H3340" s="61"/>
      <c r="I3340" s="61"/>
    </row>
    <row r="3341" spans="8:9">
      <c r="H3341" s="61"/>
      <c r="I3341" s="61"/>
    </row>
    <row r="3342" spans="8:9">
      <c r="H3342" s="61"/>
      <c r="I3342" s="61"/>
    </row>
    <row r="3343" spans="8:9">
      <c r="H3343" s="61"/>
      <c r="I3343" s="61"/>
    </row>
    <row r="3344" spans="8:9">
      <c r="H3344" s="61"/>
      <c r="I3344" s="61"/>
    </row>
    <row r="3345" spans="8:9">
      <c r="H3345" s="61"/>
      <c r="I3345" s="61"/>
    </row>
    <row r="3346" spans="8:9">
      <c r="H3346" s="61"/>
      <c r="I3346" s="61"/>
    </row>
    <row r="3347" spans="8:9">
      <c r="H3347" s="61"/>
      <c r="I3347" s="61"/>
    </row>
    <row r="3348" spans="8:9">
      <c r="H3348" s="61"/>
      <c r="I3348" s="61"/>
    </row>
    <row r="3349" spans="8:9">
      <c r="H3349" s="61"/>
      <c r="I3349" s="61"/>
    </row>
    <row r="3350" spans="8:9">
      <c r="H3350" s="61"/>
      <c r="I3350" s="61"/>
    </row>
    <row r="3351" spans="8:9">
      <c r="H3351" s="61"/>
      <c r="I3351" s="61"/>
    </row>
    <row r="3352" spans="8:9">
      <c r="H3352" s="61"/>
      <c r="I3352" s="61"/>
    </row>
    <row r="3353" spans="8:9">
      <c r="H3353" s="61"/>
      <c r="I3353" s="61"/>
    </row>
    <row r="3354" spans="8:9">
      <c r="H3354" s="61"/>
      <c r="I3354" s="61"/>
    </row>
    <row r="3355" spans="8:9">
      <c r="H3355" s="61"/>
      <c r="I3355" s="61"/>
    </row>
    <row r="3356" spans="8:9">
      <c r="H3356" s="61"/>
      <c r="I3356" s="61"/>
    </row>
    <row r="3357" spans="8:9">
      <c r="H3357" s="61"/>
      <c r="I3357" s="61"/>
    </row>
    <row r="3358" spans="8:9">
      <c r="H3358" s="61"/>
      <c r="I3358" s="61"/>
    </row>
    <row r="3359" spans="8:9">
      <c r="H3359" s="61"/>
      <c r="I3359" s="61"/>
    </row>
    <row r="3360" spans="8:9">
      <c r="H3360" s="61"/>
      <c r="I3360" s="61"/>
    </row>
    <row r="3361" spans="8:9">
      <c r="H3361" s="61"/>
      <c r="I3361" s="61"/>
    </row>
    <row r="3362" spans="8:9">
      <c r="H3362" s="61"/>
      <c r="I3362" s="61"/>
    </row>
    <row r="3363" spans="8:9">
      <c r="H3363" s="61"/>
      <c r="I3363" s="61"/>
    </row>
    <row r="3364" spans="8:9">
      <c r="H3364" s="61"/>
      <c r="I3364" s="61"/>
    </row>
    <row r="3365" spans="8:9">
      <c r="H3365" s="61"/>
      <c r="I3365" s="61"/>
    </row>
    <row r="3366" spans="8:9">
      <c r="H3366" s="61"/>
      <c r="I3366" s="61"/>
    </row>
    <row r="3367" spans="8:9">
      <c r="H3367" s="61"/>
      <c r="I3367" s="61"/>
    </row>
    <row r="3368" spans="8:9">
      <c r="H3368" s="61"/>
      <c r="I3368" s="61"/>
    </row>
    <row r="3369" spans="8:9">
      <c r="H3369" s="61"/>
      <c r="I3369" s="61"/>
    </row>
    <row r="3370" spans="8:9">
      <c r="H3370" s="61"/>
      <c r="I3370" s="61"/>
    </row>
    <row r="3371" spans="8:9">
      <c r="H3371" s="61"/>
      <c r="I3371" s="61"/>
    </row>
    <row r="3372" spans="8:9">
      <c r="H3372" s="61"/>
      <c r="I3372" s="61"/>
    </row>
    <row r="3373" spans="8:9">
      <c r="H3373" s="61"/>
      <c r="I3373" s="61"/>
    </row>
    <row r="3374" spans="8:9">
      <c r="H3374" s="61"/>
      <c r="I3374" s="61"/>
    </row>
    <row r="3375" spans="8:9">
      <c r="H3375" s="61"/>
      <c r="I3375" s="61"/>
    </row>
    <row r="3376" spans="8:9">
      <c r="H3376" s="61"/>
      <c r="I3376" s="61"/>
    </row>
    <row r="3377" spans="8:9">
      <c r="H3377" s="61"/>
      <c r="I3377" s="61"/>
    </row>
    <row r="3378" spans="8:9">
      <c r="H3378" s="61"/>
      <c r="I3378" s="61"/>
    </row>
    <row r="3379" spans="8:9">
      <c r="H3379" s="61"/>
      <c r="I3379" s="61"/>
    </row>
    <row r="3380" spans="8:9">
      <c r="H3380" s="61"/>
      <c r="I3380" s="61"/>
    </row>
    <row r="3381" spans="8:9">
      <c r="H3381" s="61"/>
      <c r="I3381" s="61"/>
    </row>
    <row r="3382" spans="8:9">
      <c r="H3382" s="61"/>
      <c r="I3382" s="61"/>
    </row>
    <row r="3383" spans="8:9">
      <c r="H3383" s="61"/>
      <c r="I3383" s="61"/>
    </row>
    <row r="3384" spans="8:9">
      <c r="H3384" s="61"/>
      <c r="I3384" s="61"/>
    </row>
    <row r="3385" spans="8:9">
      <c r="H3385" s="61"/>
      <c r="I3385" s="61"/>
    </row>
    <row r="3386" spans="8:9">
      <c r="H3386" s="61"/>
      <c r="I3386" s="61"/>
    </row>
    <row r="3387" spans="8:9">
      <c r="H3387" s="61"/>
      <c r="I3387" s="61"/>
    </row>
    <row r="3388" spans="8:9">
      <c r="H3388" s="61"/>
      <c r="I3388" s="61"/>
    </row>
    <row r="3389" spans="8:9">
      <c r="H3389" s="61"/>
      <c r="I3389" s="61"/>
    </row>
    <row r="3390" spans="8:9">
      <c r="H3390" s="61"/>
      <c r="I3390" s="61"/>
    </row>
    <row r="3391" spans="8:9">
      <c r="H3391" s="61"/>
      <c r="I3391" s="61"/>
    </row>
    <row r="3392" spans="8:9">
      <c r="H3392" s="61"/>
      <c r="I3392" s="61"/>
    </row>
    <row r="3393" spans="8:9">
      <c r="H3393" s="61"/>
      <c r="I3393" s="61"/>
    </row>
    <row r="3394" spans="8:9">
      <c r="H3394" s="61"/>
      <c r="I3394" s="61"/>
    </row>
    <row r="3395" spans="8:9">
      <c r="H3395" s="61"/>
      <c r="I3395" s="61"/>
    </row>
    <row r="3396" spans="8:9">
      <c r="H3396" s="61"/>
      <c r="I3396" s="61"/>
    </row>
    <row r="3397" spans="8:9">
      <c r="H3397" s="61"/>
      <c r="I3397" s="61"/>
    </row>
    <row r="3398" spans="8:9">
      <c r="H3398" s="61"/>
      <c r="I3398" s="61"/>
    </row>
    <row r="3399" spans="8:9">
      <c r="H3399" s="61"/>
      <c r="I3399" s="61"/>
    </row>
    <row r="3400" spans="8:9">
      <c r="H3400" s="61"/>
      <c r="I3400" s="61"/>
    </row>
    <row r="3401" spans="8:9">
      <c r="H3401" s="61"/>
      <c r="I3401" s="61"/>
    </row>
    <row r="3402" spans="8:9">
      <c r="H3402" s="61"/>
      <c r="I3402" s="61"/>
    </row>
    <row r="3403" spans="8:9">
      <c r="H3403" s="61"/>
      <c r="I3403" s="61"/>
    </row>
    <row r="3404" spans="8:9">
      <c r="H3404" s="61"/>
      <c r="I3404" s="61"/>
    </row>
    <row r="3405" spans="8:9">
      <c r="H3405" s="61"/>
      <c r="I3405" s="61"/>
    </row>
    <row r="3406" spans="8:9">
      <c r="H3406" s="61"/>
      <c r="I3406" s="61"/>
    </row>
    <row r="3407" spans="8:9">
      <c r="H3407" s="61"/>
      <c r="I3407" s="61"/>
    </row>
    <row r="3408" spans="8:9">
      <c r="H3408" s="61"/>
      <c r="I3408" s="61"/>
    </row>
    <row r="3409" spans="8:9">
      <c r="H3409" s="61"/>
      <c r="I3409" s="61"/>
    </row>
    <row r="3410" spans="8:9">
      <c r="H3410" s="61"/>
      <c r="I3410" s="61"/>
    </row>
    <row r="3411" spans="8:9">
      <c r="H3411" s="61"/>
      <c r="I3411" s="61"/>
    </row>
    <row r="3412" spans="8:9">
      <c r="H3412" s="61"/>
      <c r="I3412" s="61"/>
    </row>
    <row r="3413" spans="8:9">
      <c r="H3413" s="61"/>
      <c r="I3413" s="61"/>
    </row>
    <row r="3414" spans="8:9">
      <c r="H3414" s="61"/>
      <c r="I3414" s="61"/>
    </row>
    <row r="3415" spans="8:9">
      <c r="H3415" s="61"/>
      <c r="I3415" s="61"/>
    </row>
    <row r="3416" spans="8:9">
      <c r="H3416" s="61"/>
      <c r="I3416" s="61"/>
    </row>
    <row r="3417" spans="8:9">
      <c r="H3417" s="61"/>
      <c r="I3417" s="61"/>
    </row>
    <row r="3418" spans="8:9">
      <c r="H3418" s="61"/>
      <c r="I3418" s="61"/>
    </row>
    <row r="3419" spans="8:9">
      <c r="H3419" s="61"/>
      <c r="I3419" s="61"/>
    </row>
    <row r="3420" spans="8:9">
      <c r="H3420" s="61"/>
      <c r="I3420" s="61"/>
    </row>
    <row r="3421" spans="8:9">
      <c r="H3421" s="61"/>
      <c r="I3421" s="61"/>
    </row>
    <row r="3422" spans="8:9">
      <c r="H3422" s="61"/>
      <c r="I3422" s="61"/>
    </row>
    <row r="3423" spans="8:9">
      <c r="H3423" s="61"/>
      <c r="I3423" s="61"/>
    </row>
    <row r="3424" spans="8:9">
      <c r="H3424" s="61"/>
      <c r="I3424" s="61"/>
    </row>
    <row r="3425" spans="8:9">
      <c r="H3425" s="61"/>
      <c r="I3425" s="61"/>
    </row>
    <row r="3426" spans="8:9">
      <c r="H3426" s="61"/>
      <c r="I3426" s="61"/>
    </row>
    <row r="3427" spans="8:9">
      <c r="H3427" s="61"/>
      <c r="I3427" s="61"/>
    </row>
    <row r="3428" spans="8:9">
      <c r="H3428" s="61"/>
      <c r="I3428" s="61"/>
    </row>
    <row r="3429" spans="8:9">
      <c r="H3429" s="61"/>
      <c r="I3429" s="61"/>
    </row>
    <row r="3430" spans="8:9">
      <c r="H3430" s="61"/>
      <c r="I3430" s="61"/>
    </row>
    <row r="3431" spans="8:9">
      <c r="H3431" s="61"/>
      <c r="I3431" s="61"/>
    </row>
    <row r="3432" spans="8:9">
      <c r="H3432" s="61"/>
      <c r="I3432" s="61"/>
    </row>
    <row r="3433" spans="8:9">
      <c r="H3433" s="61"/>
      <c r="I3433" s="61"/>
    </row>
    <row r="3434" spans="8:9">
      <c r="H3434" s="61"/>
      <c r="I3434" s="61"/>
    </row>
    <row r="3435" spans="8:9">
      <c r="H3435" s="61"/>
      <c r="I3435" s="61"/>
    </row>
    <row r="3436" spans="8:9">
      <c r="H3436" s="61"/>
      <c r="I3436" s="61"/>
    </row>
    <row r="3437" spans="8:9">
      <c r="H3437" s="61"/>
      <c r="I3437" s="61"/>
    </row>
    <row r="3438" spans="8:9">
      <c r="H3438" s="61"/>
      <c r="I3438" s="61"/>
    </row>
    <row r="3439" spans="8:9">
      <c r="H3439" s="61"/>
      <c r="I3439" s="61"/>
    </row>
    <row r="3440" spans="8:9">
      <c r="H3440" s="61"/>
      <c r="I3440" s="61"/>
    </row>
    <row r="3441" spans="8:9">
      <c r="H3441" s="61"/>
      <c r="I3441" s="61"/>
    </row>
    <row r="3442" spans="8:9">
      <c r="H3442" s="61"/>
      <c r="I3442" s="61"/>
    </row>
    <row r="3443" spans="8:9">
      <c r="H3443" s="61"/>
      <c r="I3443" s="61"/>
    </row>
    <row r="3444" spans="8:9">
      <c r="H3444" s="61"/>
      <c r="I3444" s="61"/>
    </row>
    <row r="3445" spans="8:9">
      <c r="H3445" s="61"/>
      <c r="I3445" s="61"/>
    </row>
    <row r="3446" spans="8:9">
      <c r="H3446" s="61"/>
      <c r="I3446" s="61"/>
    </row>
    <row r="3447" spans="8:9">
      <c r="H3447" s="61"/>
      <c r="I3447" s="61"/>
    </row>
    <row r="3448" spans="8:9">
      <c r="H3448" s="61"/>
      <c r="I3448" s="61"/>
    </row>
    <row r="3449" spans="8:9">
      <c r="H3449" s="61"/>
      <c r="I3449" s="61"/>
    </row>
    <row r="3450" spans="8:9">
      <c r="H3450" s="61"/>
      <c r="I3450" s="61"/>
    </row>
    <row r="3451" spans="8:9">
      <c r="H3451" s="61"/>
      <c r="I3451" s="61"/>
    </row>
    <row r="3452" spans="8:9">
      <c r="H3452" s="61"/>
      <c r="I3452" s="61"/>
    </row>
    <row r="3453" spans="8:9">
      <c r="H3453" s="61"/>
      <c r="I3453" s="61"/>
    </row>
    <row r="3454" spans="8:9">
      <c r="H3454" s="61"/>
      <c r="I3454" s="61"/>
    </row>
    <row r="3455" spans="8:9">
      <c r="H3455" s="61"/>
      <c r="I3455" s="61"/>
    </row>
    <row r="3456" spans="8:9">
      <c r="H3456" s="61"/>
      <c r="I3456" s="61"/>
    </row>
    <row r="3457" spans="8:9">
      <c r="H3457" s="61"/>
      <c r="I3457" s="61"/>
    </row>
    <row r="3458" spans="8:9">
      <c r="H3458" s="61"/>
      <c r="I3458" s="61"/>
    </row>
    <row r="3459" spans="8:9">
      <c r="H3459" s="61"/>
      <c r="I3459" s="61"/>
    </row>
    <row r="3460" spans="8:9">
      <c r="H3460" s="61"/>
      <c r="I3460" s="61"/>
    </row>
    <row r="3461" spans="8:9">
      <c r="H3461" s="61"/>
      <c r="I3461" s="61"/>
    </row>
    <row r="3462" spans="8:9">
      <c r="H3462" s="61"/>
      <c r="I3462" s="61"/>
    </row>
    <row r="3463" spans="8:9">
      <c r="H3463" s="61"/>
      <c r="I3463" s="61"/>
    </row>
    <row r="3464" spans="8:9">
      <c r="H3464" s="61"/>
      <c r="I3464" s="61"/>
    </row>
    <row r="3465" spans="8:9">
      <c r="H3465" s="61"/>
      <c r="I3465" s="61"/>
    </row>
    <row r="3466" spans="8:9">
      <c r="H3466" s="61"/>
      <c r="I3466" s="61"/>
    </row>
    <row r="3467" spans="8:9">
      <c r="H3467" s="61"/>
      <c r="I3467" s="61"/>
    </row>
    <row r="3468" spans="8:9">
      <c r="H3468" s="61"/>
      <c r="I3468" s="61"/>
    </row>
    <row r="3469" spans="8:9">
      <c r="H3469" s="61"/>
      <c r="I3469" s="61"/>
    </row>
    <row r="3470" spans="8:9">
      <c r="H3470" s="61"/>
      <c r="I3470" s="61"/>
    </row>
    <row r="3471" spans="8:9">
      <c r="H3471" s="61"/>
      <c r="I3471" s="61"/>
    </row>
    <row r="3472" spans="8:9">
      <c r="H3472" s="61"/>
      <c r="I3472" s="61"/>
    </row>
    <row r="3473" spans="8:9">
      <c r="H3473" s="61"/>
      <c r="I3473" s="61"/>
    </row>
    <row r="3474" spans="8:9">
      <c r="H3474" s="61"/>
      <c r="I3474" s="61"/>
    </row>
    <row r="3475" spans="8:9">
      <c r="H3475" s="61"/>
      <c r="I3475" s="61"/>
    </row>
    <row r="3476" spans="8:9">
      <c r="H3476" s="61"/>
      <c r="I3476" s="61"/>
    </row>
    <row r="3477" spans="8:9">
      <c r="H3477" s="61"/>
      <c r="I3477" s="61"/>
    </row>
    <row r="3478" spans="8:9">
      <c r="H3478" s="61"/>
      <c r="I3478" s="61"/>
    </row>
    <row r="3479" spans="8:9">
      <c r="H3479" s="61"/>
      <c r="I3479" s="61"/>
    </row>
    <row r="3480" spans="8:9">
      <c r="H3480" s="61"/>
      <c r="I3480" s="61"/>
    </row>
    <row r="3481" spans="8:9">
      <c r="H3481" s="61"/>
      <c r="I3481" s="61"/>
    </row>
    <row r="3482" spans="8:9">
      <c r="H3482" s="61"/>
      <c r="I3482" s="61"/>
    </row>
    <row r="3483" spans="8:9">
      <c r="H3483" s="61"/>
      <c r="I3483" s="61"/>
    </row>
    <row r="3484" spans="8:9">
      <c r="H3484" s="61"/>
      <c r="I3484" s="61"/>
    </row>
    <row r="3485" spans="8:9">
      <c r="H3485" s="61"/>
      <c r="I3485" s="61"/>
    </row>
    <row r="3486" spans="8:9">
      <c r="H3486" s="61"/>
      <c r="I3486" s="61"/>
    </row>
    <row r="3487" spans="8:9">
      <c r="H3487" s="61"/>
      <c r="I3487" s="61"/>
    </row>
    <row r="3488" spans="8:9">
      <c r="H3488" s="61"/>
      <c r="I3488" s="61"/>
    </row>
    <row r="3489" spans="8:9">
      <c r="H3489" s="61"/>
      <c r="I3489" s="61"/>
    </row>
    <row r="3490" spans="8:9">
      <c r="H3490" s="61"/>
      <c r="I3490" s="61"/>
    </row>
    <row r="3491" spans="8:9">
      <c r="H3491" s="61"/>
      <c r="I3491" s="61"/>
    </row>
    <row r="3492" spans="8:9">
      <c r="H3492" s="61"/>
      <c r="I3492" s="61"/>
    </row>
    <row r="3493" spans="8:9">
      <c r="H3493" s="61"/>
      <c r="I3493" s="61"/>
    </row>
    <row r="3494" spans="8:9">
      <c r="H3494" s="61"/>
      <c r="I3494" s="61"/>
    </row>
    <row r="3495" spans="8:9">
      <c r="H3495" s="61"/>
      <c r="I3495" s="61"/>
    </row>
    <row r="3496" spans="8:9">
      <c r="H3496" s="61"/>
      <c r="I3496" s="61"/>
    </row>
    <row r="3497" spans="8:9">
      <c r="H3497" s="61"/>
      <c r="I3497" s="61"/>
    </row>
    <row r="3498" spans="8:9">
      <c r="H3498" s="61"/>
      <c r="I3498" s="61"/>
    </row>
    <row r="3499" spans="8:9">
      <c r="H3499" s="61"/>
      <c r="I3499" s="61"/>
    </row>
    <row r="3500" spans="8:9">
      <c r="H3500" s="61"/>
      <c r="I3500" s="61"/>
    </row>
    <row r="3501" spans="8:9">
      <c r="H3501" s="61"/>
      <c r="I3501" s="61"/>
    </row>
    <row r="3502" spans="8:9">
      <c r="H3502" s="61"/>
      <c r="I3502" s="61"/>
    </row>
    <row r="3503" spans="8:9">
      <c r="H3503" s="61"/>
      <c r="I3503" s="61"/>
    </row>
    <row r="3504" spans="8:9">
      <c r="H3504" s="61"/>
      <c r="I3504" s="61"/>
    </row>
    <row r="3505" spans="8:9">
      <c r="H3505" s="61"/>
      <c r="I3505" s="61"/>
    </row>
    <row r="3506" spans="8:9">
      <c r="H3506" s="61"/>
      <c r="I3506" s="61"/>
    </row>
    <row r="3507" spans="8:9">
      <c r="H3507" s="61"/>
      <c r="I3507" s="61"/>
    </row>
    <row r="3508" spans="8:9">
      <c r="H3508" s="61"/>
      <c r="I3508" s="61"/>
    </row>
    <row r="3509" spans="8:9">
      <c r="H3509" s="61"/>
      <c r="I3509" s="61"/>
    </row>
    <row r="3510" spans="8:9">
      <c r="H3510" s="61"/>
      <c r="I3510" s="61"/>
    </row>
    <row r="3511" spans="8:9">
      <c r="H3511" s="61"/>
      <c r="I3511" s="61"/>
    </row>
    <row r="3512" spans="8:9">
      <c r="H3512" s="61"/>
      <c r="I3512" s="61"/>
    </row>
    <row r="3513" spans="8:9">
      <c r="H3513" s="61"/>
      <c r="I3513" s="61"/>
    </row>
    <row r="3514" spans="8:9">
      <c r="H3514" s="61"/>
      <c r="I3514" s="61"/>
    </row>
    <row r="3515" spans="8:9">
      <c r="H3515" s="61"/>
      <c r="I3515" s="61"/>
    </row>
    <row r="3516" spans="8:9">
      <c r="H3516" s="61"/>
      <c r="I3516" s="61"/>
    </row>
    <row r="3517" spans="8:9">
      <c r="H3517" s="61"/>
      <c r="I3517" s="61"/>
    </row>
    <row r="3518" spans="8:9">
      <c r="H3518" s="61"/>
      <c r="I3518" s="61"/>
    </row>
    <row r="3519" spans="8:9">
      <c r="H3519" s="61"/>
      <c r="I3519" s="61"/>
    </row>
    <row r="3520" spans="8:9">
      <c r="H3520" s="61"/>
      <c r="I3520" s="61"/>
    </row>
    <row r="3521" spans="8:9">
      <c r="H3521" s="61"/>
      <c r="I3521" s="61"/>
    </row>
    <row r="3522" spans="8:9">
      <c r="H3522" s="61"/>
      <c r="I3522" s="61"/>
    </row>
    <row r="3523" spans="8:9">
      <c r="H3523" s="61"/>
      <c r="I3523" s="61"/>
    </row>
    <row r="3524" spans="8:9">
      <c r="H3524" s="61"/>
      <c r="I3524" s="61"/>
    </row>
    <row r="3525" spans="8:9">
      <c r="H3525" s="61"/>
      <c r="I3525" s="61"/>
    </row>
    <row r="3526" spans="8:9">
      <c r="H3526" s="61"/>
      <c r="I3526" s="61"/>
    </row>
    <row r="3527" spans="8:9">
      <c r="H3527" s="61"/>
      <c r="I3527" s="61"/>
    </row>
    <row r="3528" spans="8:9">
      <c r="H3528" s="61"/>
      <c r="I3528" s="61"/>
    </row>
    <row r="3529" spans="8:9">
      <c r="H3529" s="61"/>
      <c r="I3529" s="61"/>
    </row>
    <row r="3530" spans="8:9">
      <c r="H3530" s="61"/>
      <c r="I3530" s="61"/>
    </row>
    <row r="3531" spans="8:9">
      <c r="H3531" s="61"/>
      <c r="I3531" s="61"/>
    </row>
    <row r="3532" spans="8:9">
      <c r="H3532" s="61"/>
      <c r="I3532" s="61"/>
    </row>
    <row r="3533" spans="8:9">
      <c r="H3533" s="61"/>
      <c r="I3533" s="61"/>
    </row>
    <row r="3534" spans="8:9">
      <c r="H3534" s="61"/>
      <c r="I3534" s="61"/>
    </row>
    <row r="3535" spans="8:9">
      <c r="H3535" s="61"/>
      <c r="I3535" s="61"/>
    </row>
    <row r="3536" spans="8:9">
      <c r="H3536" s="61"/>
      <c r="I3536" s="61"/>
    </row>
    <row r="3537" spans="8:9">
      <c r="H3537" s="61"/>
      <c r="I3537" s="61"/>
    </row>
    <row r="3538" spans="8:9">
      <c r="H3538" s="61"/>
      <c r="I3538" s="61"/>
    </row>
    <row r="3539" spans="8:9">
      <c r="H3539" s="61"/>
      <c r="I3539" s="61"/>
    </row>
    <row r="3540" spans="8:9">
      <c r="H3540" s="61"/>
      <c r="I3540" s="61"/>
    </row>
    <row r="3541" spans="8:9">
      <c r="H3541" s="61"/>
      <c r="I3541" s="61"/>
    </row>
    <row r="3542" spans="8:9">
      <c r="H3542" s="61"/>
      <c r="I3542" s="61"/>
    </row>
    <row r="3543" spans="8:9">
      <c r="H3543" s="61"/>
      <c r="I3543" s="61"/>
    </row>
    <row r="3544" spans="8:9">
      <c r="H3544" s="61"/>
      <c r="I3544" s="61"/>
    </row>
    <row r="3545" spans="8:9">
      <c r="H3545" s="61"/>
      <c r="I3545" s="61"/>
    </row>
    <row r="3546" spans="8:9">
      <c r="H3546" s="61"/>
      <c r="I3546" s="61"/>
    </row>
    <row r="3547" spans="8:9">
      <c r="H3547" s="61"/>
      <c r="I3547" s="61"/>
    </row>
    <row r="3548" spans="8:9">
      <c r="H3548" s="61"/>
      <c r="I3548" s="61"/>
    </row>
    <row r="3549" spans="8:9">
      <c r="H3549" s="61"/>
      <c r="I3549" s="61"/>
    </row>
    <row r="3550" spans="8:9">
      <c r="H3550" s="61"/>
      <c r="I3550" s="61"/>
    </row>
    <row r="3551" spans="8:9">
      <c r="H3551" s="61"/>
      <c r="I3551" s="61"/>
    </row>
    <row r="3552" spans="8:9">
      <c r="H3552" s="61"/>
      <c r="I3552" s="61"/>
    </row>
    <row r="3553" spans="8:9">
      <c r="H3553" s="61"/>
      <c r="I3553" s="61"/>
    </row>
    <row r="3554" spans="8:9">
      <c r="H3554" s="61"/>
      <c r="I3554" s="61"/>
    </row>
    <row r="3555" spans="8:9">
      <c r="H3555" s="61"/>
      <c r="I3555" s="61"/>
    </row>
    <row r="3556" spans="8:9">
      <c r="H3556" s="61"/>
      <c r="I3556" s="61"/>
    </row>
    <row r="3557" spans="8:9">
      <c r="H3557" s="61"/>
      <c r="I3557" s="61"/>
    </row>
    <row r="3558" spans="8:9">
      <c r="H3558" s="61"/>
      <c r="I3558" s="61"/>
    </row>
    <row r="3559" spans="8:9">
      <c r="H3559" s="61"/>
      <c r="I3559" s="61"/>
    </row>
    <row r="3560" spans="8:9">
      <c r="H3560" s="61"/>
      <c r="I3560" s="61"/>
    </row>
    <row r="3561" spans="8:9">
      <c r="H3561" s="61"/>
      <c r="I3561" s="61"/>
    </row>
    <row r="3562" spans="8:9">
      <c r="H3562" s="61"/>
      <c r="I3562" s="61"/>
    </row>
    <row r="3563" spans="8:9">
      <c r="H3563" s="61"/>
      <c r="I3563" s="61"/>
    </row>
    <row r="3564" spans="8:9">
      <c r="H3564" s="61"/>
      <c r="I3564" s="61"/>
    </row>
    <row r="3565" spans="8:9">
      <c r="H3565" s="61"/>
      <c r="I3565" s="61"/>
    </row>
    <row r="3566" spans="8:9">
      <c r="H3566" s="61"/>
      <c r="I3566" s="61"/>
    </row>
    <row r="3567" spans="8:9">
      <c r="H3567" s="61"/>
      <c r="I3567" s="61"/>
    </row>
    <row r="3568" spans="8:9">
      <c r="H3568" s="61"/>
      <c r="I3568" s="61"/>
    </row>
    <row r="3569" spans="8:9">
      <c r="H3569" s="61"/>
      <c r="I3569" s="61"/>
    </row>
    <row r="3570" spans="8:9">
      <c r="H3570" s="61"/>
      <c r="I3570" s="61"/>
    </row>
    <row r="3571" spans="8:9">
      <c r="H3571" s="61"/>
      <c r="I3571" s="61"/>
    </row>
    <row r="3572" spans="8:9">
      <c r="H3572" s="61"/>
      <c r="I3572" s="61"/>
    </row>
    <row r="3573" spans="8:9">
      <c r="H3573" s="61"/>
      <c r="I3573" s="61"/>
    </row>
    <row r="3574" spans="8:9">
      <c r="H3574" s="61"/>
      <c r="I3574" s="61"/>
    </row>
    <row r="3575" spans="8:9">
      <c r="H3575" s="61"/>
      <c r="I3575" s="61"/>
    </row>
    <row r="3576" spans="8:9">
      <c r="H3576" s="61"/>
      <c r="I3576" s="61"/>
    </row>
    <row r="3577" spans="8:9">
      <c r="H3577" s="61"/>
      <c r="I3577" s="61"/>
    </row>
    <row r="3578" spans="8:9">
      <c r="H3578" s="61"/>
      <c r="I3578" s="61"/>
    </row>
    <row r="3579" spans="8:9">
      <c r="H3579" s="61"/>
      <c r="I3579" s="61"/>
    </row>
    <row r="3580" spans="8:9">
      <c r="H3580" s="61"/>
      <c r="I3580" s="61"/>
    </row>
    <row r="3581" spans="8:9">
      <c r="H3581" s="61"/>
      <c r="I3581" s="61"/>
    </row>
    <row r="3582" spans="8:9">
      <c r="H3582" s="61"/>
      <c r="I3582" s="61"/>
    </row>
    <row r="3583" spans="8:9">
      <c r="H3583" s="61"/>
      <c r="I3583" s="61"/>
    </row>
    <row r="3584" spans="8:9">
      <c r="H3584" s="61"/>
      <c r="I3584" s="61"/>
    </row>
    <row r="3585" spans="8:9">
      <c r="H3585" s="61"/>
      <c r="I3585" s="61"/>
    </row>
    <row r="3586" spans="8:9">
      <c r="H3586" s="61"/>
      <c r="I3586" s="61"/>
    </row>
    <row r="3587" spans="8:9">
      <c r="H3587" s="61"/>
      <c r="I3587" s="61"/>
    </row>
    <row r="3588" spans="8:9">
      <c r="H3588" s="61"/>
      <c r="I3588" s="61"/>
    </row>
    <row r="3589" spans="8:9">
      <c r="H3589" s="61"/>
      <c r="I3589" s="61"/>
    </row>
    <row r="3590" spans="8:9">
      <c r="H3590" s="61"/>
      <c r="I3590" s="61"/>
    </row>
    <row r="3591" spans="8:9">
      <c r="H3591" s="61"/>
      <c r="I3591" s="61"/>
    </row>
    <row r="3592" spans="8:9">
      <c r="H3592" s="61"/>
      <c r="I3592" s="61"/>
    </row>
    <row r="3593" spans="8:9">
      <c r="H3593" s="61"/>
      <c r="I3593" s="61"/>
    </row>
    <row r="3594" spans="8:9">
      <c r="H3594" s="61"/>
      <c r="I3594" s="61"/>
    </row>
    <row r="3595" spans="8:9">
      <c r="H3595" s="61"/>
      <c r="I3595" s="61"/>
    </row>
    <row r="3596" spans="8:9">
      <c r="H3596" s="61"/>
      <c r="I3596" s="61"/>
    </row>
    <row r="3597" spans="8:9">
      <c r="H3597" s="61"/>
      <c r="I3597" s="61"/>
    </row>
    <row r="3598" spans="8:9">
      <c r="H3598" s="61"/>
      <c r="I3598" s="61"/>
    </row>
    <row r="3599" spans="8:9">
      <c r="H3599" s="61"/>
      <c r="I3599" s="61"/>
    </row>
    <row r="3600" spans="8:9">
      <c r="H3600" s="61"/>
      <c r="I3600" s="61"/>
    </row>
    <row r="3601" spans="8:9">
      <c r="H3601" s="61"/>
      <c r="I3601" s="61"/>
    </row>
    <row r="3602" spans="8:9">
      <c r="H3602" s="61"/>
      <c r="I3602" s="61"/>
    </row>
    <row r="3603" spans="8:9">
      <c r="H3603" s="61"/>
      <c r="I3603" s="61"/>
    </row>
    <row r="3604" spans="8:9">
      <c r="H3604" s="61"/>
      <c r="I3604" s="61"/>
    </row>
    <row r="3605" spans="8:9">
      <c r="H3605" s="61"/>
      <c r="I3605" s="61"/>
    </row>
    <row r="3606" spans="8:9">
      <c r="H3606" s="61"/>
      <c r="I3606" s="61"/>
    </row>
    <row r="3607" spans="8:9">
      <c r="H3607" s="61"/>
      <c r="I3607" s="61"/>
    </row>
    <row r="3608" spans="8:9">
      <c r="H3608" s="61"/>
      <c r="I3608" s="61"/>
    </row>
    <row r="3609" spans="8:9">
      <c r="H3609" s="61"/>
      <c r="I3609" s="61"/>
    </row>
    <row r="3610" spans="8:9">
      <c r="H3610" s="61"/>
      <c r="I3610" s="61"/>
    </row>
    <row r="3611" spans="8:9">
      <c r="H3611" s="61"/>
      <c r="I3611" s="61"/>
    </row>
    <row r="3612" spans="8:9">
      <c r="H3612" s="61"/>
      <c r="I3612" s="61"/>
    </row>
    <row r="3613" spans="8:9">
      <c r="H3613" s="61"/>
      <c r="I3613" s="61"/>
    </row>
    <row r="3614" spans="8:9">
      <c r="H3614" s="61"/>
      <c r="I3614" s="61"/>
    </row>
    <row r="3615" spans="8:9">
      <c r="H3615" s="61"/>
      <c r="I3615" s="61"/>
    </row>
    <row r="3616" spans="8:9">
      <c r="H3616" s="61"/>
      <c r="I3616" s="61"/>
    </row>
    <row r="3617" spans="8:9">
      <c r="H3617" s="61"/>
      <c r="I3617" s="61"/>
    </row>
    <row r="3618" spans="8:9">
      <c r="H3618" s="61"/>
      <c r="I3618" s="61"/>
    </row>
    <row r="3619" spans="8:9">
      <c r="H3619" s="61"/>
      <c r="I3619" s="61"/>
    </row>
    <row r="3620" spans="8:9">
      <c r="H3620" s="61"/>
      <c r="I3620" s="61"/>
    </row>
    <row r="3621" spans="8:9">
      <c r="H3621" s="61"/>
      <c r="I3621" s="61"/>
    </row>
    <row r="3622" spans="8:9">
      <c r="H3622" s="61"/>
      <c r="I3622" s="61"/>
    </row>
    <row r="3623" spans="8:9">
      <c r="H3623" s="61"/>
      <c r="I3623" s="61"/>
    </row>
    <row r="3624" spans="8:9">
      <c r="H3624" s="61"/>
      <c r="I3624" s="61"/>
    </row>
    <row r="3625" spans="8:9">
      <c r="H3625" s="61"/>
      <c r="I3625" s="61"/>
    </row>
    <row r="3626" spans="8:9">
      <c r="H3626" s="61"/>
      <c r="I3626" s="61"/>
    </row>
    <row r="3627" spans="8:9">
      <c r="H3627" s="61"/>
      <c r="I3627" s="61"/>
    </row>
    <row r="3628" spans="8:9">
      <c r="H3628" s="61"/>
      <c r="I3628" s="61"/>
    </row>
    <row r="3629" spans="8:9">
      <c r="H3629" s="61"/>
      <c r="I3629" s="61"/>
    </row>
    <row r="3630" spans="8:9">
      <c r="H3630" s="61"/>
      <c r="I3630" s="61"/>
    </row>
    <row r="3631" spans="8:9">
      <c r="H3631" s="61"/>
      <c r="I3631" s="61"/>
    </row>
    <row r="3632" spans="8:9">
      <c r="H3632" s="61"/>
      <c r="I3632" s="61"/>
    </row>
    <row r="3633" spans="8:9">
      <c r="H3633" s="61"/>
      <c r="I3633" s="61"/>
    </row>
    <row r="3634" spans="8:9">
      <c r="H3634" s="61"/>
      <c r="I3634" s="61"/>
    </row>
    <row r="3635" spans="8:9">
      <c r="H3635" s="61"/>
      <c r="I3635" s="61"/>
    </row>
    <row r="3636" spans="8:9">
      <c r="H3636" s="61"/>
      <c r="I3636" s="61"/>
    </row>
    <row r="3637" spans="8:9">
      <c r="H3637" s="61"/>
      <c r="I3637" s="61"/>
    </row>
    <row r="3638" spans="8:9">
      <c r="H3638" s="61"/>
      <c r="I3638" s="61"/>
    </row>
    <row r="3639" spans="8:9">
      <c r="H3639" s="61"/>
      <c r="I3639" s="61"/>
    </row>
    <row r="3640" spans="8:9">
      <c r="H3640" s="61"/>
      <c r="I3640" s="61"/>
    </row>
    <row r="3641" spans="8:9">
      <c r="H3641" s="61"/>
      <c r="I3641" s="61"/>
    </row>
    <row r="3642" spans="8:9">
      <c r="H3642" s="61"/>
      <c r="I3642" s="61"/>
    </row>
    <row r="3643" spans="8:9">
      <c r="H3643" s="61"/>
      <c r="I3643" s="61"/>
    </row>
    <row r="3644" spans="8:9">
      <c r="H3644" s="61"/>
      <c r="I3644" s="61"/>
    </row>
    <row r="3645" spans="8:9">
      <c r="H3645" s="61"/>
      <c r="I3645" s="61"/>
    </row>
    <row r="3646" spans="8:9">
      <c r="H3646" s="61"/>
      <c r="I3646" s="61"/>
    </row>
    <row r="3647" spans="8:9">
      <c r="H3647" s="61"/>
      <c r="I3647" s="61"/>
    </row>
    <row r="3648" spans="8:9">
      <c r="H3648" s="61"/>
      <c r="I3648" s="61"/>
    </row>
    <row r="3649" spans="8:9">
      <c r="H3649" s="61"/>
      <c r="I3649" s="61"/>
    </row>
    <row r="3650" spans="8:9">
      <c r="H3650" s="61"/>
      <c r="I3650" s="61"/>
    </row>
    <row r="3651" spans="8:9">
      <c r="H3651" s="61"/>
      <c r="I3651" s="61"/>
    </row>
    <row r="3652" spans="8:9">
      <c r="H3652" s="61"/>
      <c r="I3652" s="61"/>
    </row>
    <row r="3653" spans="8:9">
      <c r="H3653" s="61"/>
      <c r="I3653" s="61"/>
    </row>
    <row r="3654" spans="8:9">
      <c r="H3654" s="61"/>
      <c r="I3654" s="61"/>
    </row>
    <row r="3655" spans="8:9">
      <c r="H3655" s="61"/>
      <c r="I3655" s="61"/>
    </row>
    <row r="3656" spans="8:9">
      <c r="H3656" s="61"/>
      <c r="I3656" s="61"/>
    </row>
    <row r="3657" spans="8:9">
      <c r="H3657" s="61"/>
      <c r="I3657" s="61"/>
    </row>
    <row r="3658" spans="8:9">
      <c r="H3658" s="61"/>
      <c r="I3658" s="61"/>
    </row>
    <row r="3659" spans="8:9">
      <c r="H3659" s="61"/>
      <c r="I3659" s="61"/>
    </row>
    <row r="3660" spans="8:9">
      <c r="H3660" s="61"/>
      <c r="I3660" s="61"/>
    </row>
    <row r="3661" spans="8:9">
      <c r="H3661" s="61"/>
      <c r="I3661" s="61"/>
    </row>
    <row r="3662" spans="8:9">
      <c r="H3662" s="61"/>
      <c r="I3662" s="61"/>
    </row>
    <row r="3663" spans="8:9">
      <c r="H3663" s="61"/>
      <c r="I3663" s="61"/>
    </row>
    <row r="3664" spans="8:9">
      <c r="H3664" s="61"/>
      <c r="I3664" s="61"/>
    </row>
    <row r="3665" spans="8:9">
      <c r="H3665" s="61"/>
      <c r="I3665" s="61"/>
    </row>
    <row r="3666" spans="8:9">
      <c r="H3666" s="61"/>
      <c r="I3666" s="61"/>
    </row>
    <row r="3667" spans="8:9">
      <c r="H3667" s="61"/>
      <c r="I3667" s="61"/>
    </row>
    <row r="3668" spans="8:9">
      <c r="H3668" s="61"/>
      <c r="I3668" s="61"/>
    </row>
    <row r="3669" spans="8:9">
      <c r="H3669" s="61"/>
      <c r="I3669" s="61"/>
    </row>
    <row r="3670" spans="8:9">
      <c r="H3670" s="61"/>
      <c r="I3670" s="61"/>
    </row>
    <row r="3671" spans="8:9">
      <c r="H3671" s="61"/>
      <c r="I3671" s="61"/>
    </row>
    <row r="3672" spans="8:9">
      <c r="H3672" s="61"/>
      <c r="I3672" s="61"/>
    </row>
    <row r="3673" spans="8:9">
      <c r="H3673" s="61"/>
      <c r="I3673" s="61"/>
    </row>
    <row r="3674" spans="8:9">
      <c r="H3674" s="61"/>
      <c r="I3674" s="61"/>
    </row>
    <row r="3675" spans="8:9">
      <c r="H3675" s="61"/>
      <c r="I3675" s="61"/>
    </row>
    <row r="3676" spans="8:9">
      <c r="H3676" s="61"/>
      <c r="I3676" s="61"/>
    </row>
    <row r="3677" spans="8:9">
      <c r="H3677" s="61"/>
      <c r="I3677" s="61"/>
    </row>
    <row r="3678" spans="8:9">
      <c r="H3678" s="61"/>
      <c r="I3678" s="61"/>
    </row>
    <row r="3679" spans="8:9">
      <c r="H3679" s="61"/>
      <c r="I3679" s="61"/>
    </row>
    <row r="3680" spans="8:9">
      <c r="H3680" s="61"/>
      <c r="I3680" s="61"/>
    </row>
    <row r="3681" spans="8:9">
      <c r="H3681" s="61"/>
      <c r="I3681" s="61"/>
    </row>
    <row r="3682" spans="8:9">
      <c r="H3682" s="61"/>
      <c r="I3682" s="61"/>
    </row>
    <row r="3683" spans="8:9">
      <c r="H3683" s="61"/>
      <c r="I3683" s="61"/>
    </row>
    <row r="3684" spans="8:9">
      <c r="H3684" s="61"/>
      <c r="I3684" s="61"/>
    </row>
    <row r="3685" spans="8:9">
      <c r="H3685" s="61"/>
      <c r="I3685" s="61"/>
    </row>
    <row r="3686" spans="8:9">
      <c r="H3686" s="61"/>
      <c r="I3686" s="61"/>
    </row>
    <row r="3687" spans="8:9">
      <c r="H3687" s="61"/>
      <c r="I3687" s="61"/>
    </row>
    <row r="3688" spans="8:9">
      <c r="H3688" s="61"/>
      <c r="I3688" s="61"/>
    </row>
    <row r="3689" spans="8:9">
      <c r="H3689" s="61"/>
      <c r="I3689" s="61"/>
    </row>
    <row r="3690" spans="8:9">
      <c r="H3690" s="61"/>
      <c r="I3690" s="61"/>
    </row>
    <row r="3691" spans="8:9">
      <c r="H3691" s="61"/>
      <c r="I3691" s="61"/>
    </row>
    <row r="3692" spans="8:9">
      <c r="H3692" s="61"/>
      <c r="I3692" s="61"/>
    </row>
    <row r="3693" spans="8:9">
      <c r="H3693" s="61"/>
      <c r="I3693" s="61"/>
    </row>
    <row r="3694" spans="8:9">
      <c r="H3694" s="61"/>
      <c r="I3694" s="61"/>
    </row>
    <row r="3695" spans="8:9">
      <c r="H3695" s="61"/>
      <c r="I3695" s="61"/>
    </row>
    <row r="3696" spans="8:9">
      <c r="H3696" s="61"/>
      <c r="I3696" s="61"/>
    </row>
    <row r="3697" spans="8:9">
      <c r="H3697" s="61"/>
      <c r="I3697" s="61"/>
    </row>
    <row r="3698" spans="8:9">
      <c r="H3698" s="61"/>
      <c r="I3698" s="61"/>
    </row>
    <row r="3699" spans="8:9">
      <c r="H3699" s="61"/>
      <c r="I3699" s="61"/>
    </row>
    <row r="3700" spans="8:9">
      <c r="H3700" s="61"/>
      <c r="I3700" s="61"/>
    </row>
    <row r="3701" spans="8:9">
      <c r="H3701" s="61"/>
      <c r="I3701" s="61"/>
    </row>
    <row r="3702" spans="8:9">
      <c r="H3702" s="61"/>
      <c r="I3702" s="61"/>
    </row>
    <row r="3703" spans="8:9">
      <c r="H3703" s="61"/>
      <c r="I3703" s="61"/>
    </row>
    <row r="3704" spans="8:9">
      <c r="H3704" s="61"/>
      <c r="I3704" s="61"/>
    </row>
    <row r="3705" spans="8:9">
      <c r="H3705" s="61"/>
      <c r="I3705" s="61"/>
    </row>
    <row r="3706" spans="8:9">
      <c r="H3706" s="61"/>
      <c r="I3706" s="61"/>
    </row>
    <row r="3707" spans="8:9">
      <c r="H3707" s="61"/>
      <c r="I3707" s="61"/>
    </row>
    <row r="3708" spans="8:9">
      <c r="H3708" s="61"/>
      <c r="I3708" s="61"/>
    </row>
    <row r="3709" spans="8:9">
      <c r="H3709" s="61"/>
      <c r="I3709" s="61"/>
    </row>
    <row r="3710" spans="8:9">
      <c r="H3710" s="61"/>
      <c r="I3710" s="61"/>
    </row>
    <row r="3711" spans="8:9">
      <c r="H3711" s="61"/>
      <c r="I3711" s="61"/>
    </row>
    <row r="3712" spans="8:9">
      <c r="H3712" s="61"/>
      <c r="I3712" s="61"/>
    </row>
    <row r="3713" spans="8:9">
      <c r="H3713" s="61"/>
      <c r="I3713" s="61"/>
    </row>
    <row r="3714" spans="8:9">
      <c r="H3714" s="61"/>
      <c r="I3714" s="61"/>
    </row>
    <row r="3715" spans="8:9">
      <c r="H3715" s="61"/>
      <c r="I3715" s="61"/>
    </row>
    <row r="3716" spans="8:9">
      <c r="H3716" s="61"/>
      <c r="I3716" s="61"/>
    </row>
    <row r="3717" spans="8:9">
      <c r="H3717" s="61"/>
      <c r="I3717" s="61"/>
    </row>
    <row r="3718" spans="8:9">
      <c r="H3718" s="61"/>
      <c r="I3718" s="61"/>
    </row>
    <row r="3719" spans="8:9">
      <c r="H3719" s="61"/>
      <c r="I3719" s="61"/>
    </row>
    <row r="3720" spans="8:9">
      <c r="H3720" s="61"/>
      <c r="I3720" s="61"/>
    </row>
    <row r="3721" spans="8:9">
      <c r="H3721" s="61"/>
      <c r="I3721" s="61"/>
    </row>
    <row r="3722" spans="8:9">
      <c r="H3722" s="61"/>
      <c r="I3722" s="61"/>
    </row>
    <row r="3723" spans="8:9">
      <c r="H3723" s="61"/>
      <c r="I3723" s="61"/>
    </row>
    <row r="3724" spans="8:9">
      <c r="H3724" s="61"/>
      <c r="I3724" s="61"/>
    </row>
    <row r="3725" spans="8:9">
      <c r="H3725" s="61"/>
      <c r="I3725" s="61"/>
    </row>
    <row r="3726" spans="8:9">
      <c r="H3726" s="61"/>
      <c r="I3726" s="61"/>
    </row>
    <row r="3727" spans="8:9">
      <c r="H3727" s="61"/>
      <c r="I3727" s="61"/>
    </row>
    <row r="3728" spans="8:9">
      <c r="H3728" s="61"/>
      <c r="I3728" s="61"/>
    </row>
    <row r="3729" spans="8:9">
      <c r="H3729" s="61"/>
      <c r="I3729" s="61"/>
    </row>
    <row r="3730" spans="8:9">
      <c r="H3730" s="61"/>
      <c r="I3730" s="61"/>
    </row>
    <row r="3731" spans="8:9">
      <c r="H3731" s="61"/>
      <c r="I3731" s="61"/>
    </row>
    <row r="3732" spans="8:9">
      <c r="H3732" s="61"/>
      <c r="I3732" s="61"/>
    </row>
    <row r="3733" spans="8:9">
      <c r="H3733" s="61"/>
      <c r="I3733" s="61"/>
    </row>
    <row r="3734" spans="8:9">
      <c r="H3734" s="61"/>
      <c r="I3734" s="61"/>
    </row>
    <row r="3735" spans="8:9">
      <c r="H3735" s="61"/>
      <c r="I3735" s="61"/>
    </row>
    <row r="3736" spans="8:9">
      <c r="H3736" s="61"/>
      <c r="I3736" s="61"/>
    </row>
    <row r="3737" spans="8:9">
      <c r="H3737" s="61"/>
      <c r="I3737" s="61"/>
    </row>
    <row r="3738" spans="8:9">
      <c r="H3738" s="61"/>
      <c r="I3738" s="61"/>
    </row>
    <row r="3739" spans="8:9">
      <c r="H3739" s="61"/>
      <c r="I3739" s="61"/>
    </row>
    <row r="3740" spans="8:9">
      <c r="H3740" s="61"/>
      <c r="I3740" s="61"/>
    </row>
    <row r="3741" spans="8:9">
      <c r="H3741" s="61"/>
      <c r="I3741" s="61"/>
    </row>
    <row r="3742" spans="8:9">
      <c r="H3742" s="61"/>
      <c r="I3742" s="61"/>
    </row>
    <row r="3743" spans="8:9">
      <c r="H3743" s="61"/>
      <c r="I3743" s="61"/>
    </row>
    <row r="3744" spans="8:9">
      <c r="H3744" s="61"/>
      <c r="I3744" s="61"/>
    </row>
    <row r="3745" spans="8:9">
      <c r="H3745" s="61"/>
      <c r="I3745" s="61"/>
    </row>
    <row r="3746" spans="8:9">
      <c r="H3746" s="61"/>
      <c r="I3746" s="61"/>
    </row>
    <row r="3747" spans="8:9">
      <c r="H3747" s="61"/>
      <c r="I3747" s="61"/>
    </row>
    <row r="3748" spans="8:9">
      <c r="H3748" s="61"/>
      <c r="I3748" s="61"/>
    </row>
    <row r="3749" spans="8:9">
      <c r="H3749" s="61"/>
      <c r="I3749" s="61"/>
    </row>
    <row r="3750" spans="8:9">
      <c r="H3750" s="61"/>
      <c r="I3750" s="61"/>
    </row>
    <row r="3751" spans="8:9">
      <c r="H3751" s="61"/>
      <c r="I3751" s="61"/>
    </row>
    <row r="3752" spans="8:9">
      <c r="H3752" s="61"/>
      <c r="I3752" s="61"/>
    </row>
    <row r="3753" spans="8:9">
      <c r="H3753" s="61"/>
      <c r="I3753" s="61"/>
    </row>
    <row r="3754" spans="8:9">
      <c r="H3754" s="61"/>
      <c r="I3754" s="61"/>
    </row>
    <row r="3755" spans="8:9">
      <c r="H3755" s="61"/>
      <c r="I3755" s="61"/>
    </row>
    <row r="3756" spans="8:9">
      <c r="H3756" s="61"/>
      <c r="I3756" s="61"/>
    </row>
    <row r="3757" spans="8:9">
      <c r="H3757" s="61"/>
      <c r="I3757" s="61"/>
    </row>
    <row r="3758" spans="8:9">
      <c r="H3758" s="61"/>
      <c r="I3758" s="61"/>
    </row>
    <row r="3759" spans="8:9">
      <c r="H3759" s="61"/>
      <c r="I3759" s="61"/>
    </row>
    <row r="3760" spans="8:9">
      <c r="H3760" s="61"/>
      <c r="I3760" s="61"/>
    </row>
    <row r="3761" spans="8:9">
      <c r="H3761" s="61"/>
      <c r="I3761" s="61"/>
    </row>
    <row r="3762" spans="8:9">
      <c r="H3762" s="61"/>
      <c r="I3762" s="61"/>
    </row>
    <row r="3763" spans="8:9">
      <c r="H3763" s="61"/>
      <c r="I3763" s="61"/>
    </row>
    <row r="3764" spans="8:9">
      <c r="H3764" s="61"/>
      <c r="I3764" s="61"/>
    </row>
    <row r="3765" spans="8:9">
      <c r="H3765" s="61"/>
      <c r="I3765" s="61"/>
    </row>
    <row r="3766" spans="8:9">
      <c r="H3766" s="61"/>
      <c r="I3766" s="61"/>
    </row>
    <row r="3767" spans="8:9">
      <c r="H3767" s="61"/>
      <c r="I3767" s="61"/>
    </row>
    <row r="3768" spans="8:9">
      <c r="H3768" s="61"/>
      <c r="I3768" s="61"/>
    </row>
    <row r="3769" spans="8:9">
      <c r="H3769" s="61"/>
      <c r="I3769" s="61"/>
    </row>
    <row r="3770" spans="8:9">
      <c r="H3770" s="61"/>
      <c r="I3770" s="61"/>
    </row>
    <row r="3771" spans="8:9">
      <c r="H3771" s="61"/>
      <c r="I3771" s="61"/>
    </row>
    <row r="3772" spans="8:9">
      <c r="H3772" s="61"/>
      <c r="I3772" s="61"/>
    </row>
    <row r="3773" spans="8:9">
      <c r="H3773" s="61"/>
      <c r="I3773" s="61"/>
    </row>
    <row r="3774" spans="8:9">
      <c r="H3774" s="61"/>
      <c r="I3774" s="61"/>
    </row>
    <row r="3775" spans="8:9">
      <c r="H3775" s="61"/>
      <c r="I3775" s="61"/>
    </row>
    <row r="3776" spans="8:9">
      <c r="H3776" s="61"/>
      <c r="I3776" s="61"/>
    </row>
    <row r="3777" spans="8:9">
      <c r="H3777" s="61"/>
      <c r="I3777" s="61"/>
    </row>
    <row r="3778" spans="8:9">
      <c r="H3778" s="61"/>
      <c r="I3778" s="61"/>
    </row>
    <row r="3779" spans="8:9">
      <c r="H3779" s="61"/>
      <c r="I3779" s="61"/>
    </row>
    <row r="3780" spans="8:9">
      <c r="H3780" s="61"/>
      <c r="I3780" s="61"/>
    </row>
    <row r="3781" spans="8:9">
      <c r="H3781" s="61"/>
      <c r="I3781" s="61"/>
    </row>
    <row r="3782" spans="8:9">
      <c r="H3782" s="61"/>
      <c r="I3782" s="61"/>
    </row>
    <row r="3783" spans="8:9">
      <c r="H3783" s="61"/>
      <c r="I3783" s="61"/>
    </row>
    <row r="3784" spans="8:9">
      <c r="H3784" s="61"/>
      <c r="I3784" s="61"/>
    </row>
    <row r="3785" spans="8:9">
      <c r="H3785" s="61"/>
      <c r="I3785" s="61"/>
    </row>
    <row r="3786" spans="8:9">
      <c r="H3786" s="61"/>
      <c r="I3786" s="61"/>
    </row>
    <row r="3787" spans="8:9">
      <c r="H3787" s="61"/>
      <c r="I3787" s="61"/>
    </row>
    <row r="3788" spans="8:9">
      <c r="H3788" s="61"/>
      <c r="I3788" s="61"/>
    </row>
    <row r="3789" spans="8:9">
      <c r="H3789" s="61"/>
      <c r="I3789" s="61"/>
    </row>
    <row r="3790" spans="8:9">
      <c r="H3790" s="61"/>
      <c r="I3790" s="61"/>
    </row>
    <row r="3791" spans="8:9">
      <c r="H3791" s="61"/>
      <c r="I3791" s="61"/>
    </row>
    <row r="3792" spans="8:9">
      <c r="H3792" s="61"/>
      <c r="I3792" s="61"/>
    </row>
    <row r="3793" spans="8:9">
      <c r="H3793" s="61"/>
      <c r="I3793" s="61"/>
    </row>
    <row r="3794" spans="8:9">
      <c r="H3794" s="61"/>
      <c r="I3794" s="61"/>
    </row>
    <row r="3795" spans="8:9">
      <c r="H3795" s="61"/>
      <c r="I3795" s="61"/>
    </row>
    <row r="3796" spans="8:9">
      <c r="H3796" s="61"/>
      <c r="I3796" s="61"/>
    </row>
    <row r="3797" spans="8:9">
      <c r="H3797" s="61"/>
      <c r="I3797" s="61"/>
    </row>
    <row r="3798" spans="8:9">
      <c r="H3798" s="61"/>
      <c r="I3798" s="61"/>
    </row>
    <row r="3799" spans="8:9">
      <c r="H3799" s="61"/>
      <c r="I3799" s="61"/>
    </row>
    <row r="3800" spans="8:9">
      <c r="H3800" s="61"/>
      <c r="I3800" s="61"/>
    </row>
    <row r="3801" spans="8:9">
      <c r="H3801" s="61"/>
      <c r="I3801" s="61"/>
    </row>
    <row r="3802" spans="8:9">
      <c r="H3802" s="61"/>
      <c r="I3802" s="61"/>
    </row>
    <row r="3803" spans="8:9">
      <c r="H3803" s="61"/>
      <c r="I3803" s="61"/>
    </row>
    <row r="3804" spans="8:9">
      <c r="H3804" s="61"/>
      <c r="I3804" s="61"/>
    </row>
    <row r="3805" spans="8:9">
      <c r="H3805" s="61"/>
      <c r="I3805" s="61"/>
    </row>
    <row r="3806" spans="8:9">
      <c r="H3806" s="61"/>
      <c r="I3806" s="61"/>
    </row>
    <row r="3807" spans="8:9">
      <c r="H3807" s="61"/>
      <c r="I3807" s="61"/>
    </row>
    <row r="3808" spans="8:9">
      <c r="H3808" s="61"/>
      <c r="I3808" s="61"/>
    </row>
    <row r="3809" spans="8:9">
      <c r="H3809" s="61"/>
      <c r="I3809" s="61"/>
    </row>
    <row r="3810" spans="8:9">
      <c r="H3810" s="61"/>
      <c r="I3810" s="61"/>
    </row>
    <row r="3811" spans="8:9">
      <c r="H3811" s="61"/>
      <c r="I3811" s="61"/>
    </row>
    <row r="3812" spans="8:9">
      <c r="H3812" s="61"/>
      <c r="I3812" s="61"/>
    </row>
    <row r="3813" spans="8:9">
      <c r="H3813" s="61"/>
      <c r="I3813" s="61"/>
    </row>
    <row r="3814" spans="8:9">
      <c r="H3814" s="61"/>
      <c r="I3814" s="61"/>
    </row>
    <row r="3815" spans="8:9">
      <c r="H3815" s="61"/>
      <c r="I3815" s="61"/>
    </row>
    <row r="3816" spans="8:9">
      <c r="H3816" s="61"/>
      <c r="I3816" s="61"/>
    </row>
    <row r="3817" spans="8:9">
      <c r="H3817" s="61"/>
      <c r="I3817" s="61"/>
    </row>
    <row r="3818" spans="8:9">
      <c r="H3818" s="61"/>
      <c r="I3818" s="61"/>
    </row>
    <row r="3819" spans="8:9">
      <c r="H3819" s="61"/>
      <c r="I3819" s="61"/>
    </row>
    <row r="3820" spans="8:9">
      <c r="H3820" s="61"/>
      <c r="I3820" s="61"/>
    </row>
    <row r="3821" spans="8:9">
      <c r="H3821" s="61"/>
      <c r="I3821" s="61"/>
    </row>
    <row r="3822" spans="8:9">
      <c r="H3822" s="61"/>
      <c r="I3822" s="61"/>
    </row>
    <row r="3823" spans="8:9">
      <c r="H3823" s="61"/>
      <c r="I3823" s="61"/>
    </row>
    <row r="3824" spans="8:9">
      <c r="H3824" s="61"/>
      <c r="I3824" s="61"/>
    </row>
    <row r="3825" spans="8:9">
      <c r="H3825" s="61"/>
      <c r="I3825" s="61"/>
    </row>
    <row r="3826" spans="8:9">
      <c r="H3826" s="61"/>
      <c r="I3826" s="61"/>
    </row>
    <row r="3827" spans="8:9">
      <c r="H3827" s="61"/>
      <c r="I3827" s="61"/>
    </row>
    <row r="3828" spans="8:9">
      <c r="H3828" s="61"/>
      <c r="I3828" s="61"/>
    </row>
    <row r="3829" spans="8:9">
      <c r="H3829" s="61"/>
      <c r="I3829" s="61"/>
    </row>
    <row r="3830" spans="8:9">
      <c r="H3830" s="61"/>
      <c r="I3830" s="61"/>
    </row>
    <row r="3831" spans="8:9">
      <c r="H3831" s="61"/>
      <c r="I3831" s="61"/>
    </row>
    <row r="3832" spans="8:9">
      <c r="H3832" s="61"/>
      <c r="I3832" s="61"/>
    </row>
    <row r="3833" spans="8:9">
      <c r="H3833" s="61"/>
      <c r="I3833" s="61"/>
    </row>
    <row r="3834" spans="8:9">
      <c r="H3834" s="61"/>
      <c r="I3834" s="61"/>
    </row>
    <row r="3835" spans="8:9">
      <c r="H3835" s="61"/>
      <c r="I3835" s="61"/>
    </row>
    <row r="3836" spans="8:9">
      <c r="H3836" s="61"/>
      <c r="I3836" s="61"/>
    </row>
    <row r="3837" spans="8:9">
      <c r="H3837" s="61"/>
      <c r="I3837" s="61"/>
    </row>
    <row r="3838" spans="8:9">
      <c r="H3838" s="61"/>
      <c r="I3838" s="61"/>
    </row>
    <row r="3839" spans="8:9">
      <c r="H3839" s="61"/>
      <c r="I3839" s="61"/>
    </row>
    <row r="3840" spans="8:9">
      <c r="H3840" s="61"/>
      <c r="I3840" s="61"/>
    </row>
    <row r="3841" spans="8:9">
      <c r="H3841" s="61"/>
      <c r="I3841" s="61"/>
    </row>
    <row r="3842" spans="8:9">
      <c r="H3842" s="61"/>
      <c r="I3842" s="61"/>
    </row>
    <row r="3843" spans="8:9">
      <c r="H3843" s="61"/>
      <c r="I3843" s="61"/>
    </row>
    <row r="3844" spans="8:9">
      <c r="H3844" s="61"/>
      <c r="I3844" s="61"/>
    </row>
    <row r="3845" spans="8:9">
      <c r="H3845" s="61"/>
      <c r="I3845" s="61"/>
    </row>
    <row r="3846" spans="8:9">
      <c r="H3846" s="61"/>
      <c r="I3846" s="61"/>
    </row>
    <row r="3847" spans="8:9">
      <c r="H3847" s="61"/>
      <c r="I3847" s="61"/>
    </row>
    <row r="3848" spans="8:9">
      <c r="H3848" s="61"/>
      <c r="I3848" s="61"/>
    </row>
    <row r="3849" spans="8:9">
      <c r="H3849" s="61"/>
      <c r="I3849" s="61"/>
    </row>
    <row r="3850" spans="8:9">
      <c r="H3850" s="61"/>
      <c r="I3850" s="61"/>
    </row>
    <row r="3851" spans="8:9">
      <c r="H3851" s="61"/>
      <c r="I3851" s="61"/>
    </row>
    <row r="3852" spans="8:9">
      <c r="H3852" s="61"/>
      <c r="I3852" s="61"/>
    </row>
    <row r="3853" spans="8:9">
      <c r="H3853" s="61"/>
      <c r="I3853" s="61"/>
    </row>
    <row r="3854" spans="8:9">
      <c r="H3854" s="61"/>
      <c r="I3854" s="61"/>
    </row>
    <row r="3855" spans="8:9">
      <c r="H3855" s="61"/>
      <c r="I3855" s="61"/>
    </row>
    <row r="3856" spans="8:9">
      <c r="H3856" s="61"/>
      <c r="I3856" s="61"/>
    </row>
    <row r="3857" spans="8:9">
      <c r="H3857" s="61"/>
      <c r="I3857" s="61"/>
    </row>
    <row r="3858" spans="8:9">
      <c r="H3858" s="61"/>
      <c r="I3858" s="61"/>
    </row>
    <row r="3859" spans="8:9">
      <c r="H3859" s="61"/>
      <c r="I3859" s="61"/>
    </row>
    <row r="3860" spans="8:9">
      <c r="H3860" s="61"/>
      <c r="I3860" s="61"/>
    </row>
    <row r="3861" spans="8:9">
      <c r="H3861" s="61"/>
      <c r="I3861" s="61"/>
    </row>
    <row r="3862" spans="8:9">
      <c r="H3862" s="61"/>
      <c r="I3862" s="61"/>
    </row>
    <row r="3863" spans="8:9">
      <c r="H3863" s="61"/>
      <c r="I3863" s="61"/>
    </row>
    <row r="3864" spans="8:9">
      <c r="H3864" s="61"/>
      <c r="I3864" s="61"/>
    </row>
    <row r="3865" spans="8:9">
      <c r="H3865" s="61"/>
      <c r="I3865" s="61"/>
    </row>
    <row r="3866" spans="8:9">
      <c r="H3866" s="61"/>
      <c r="I3866" s="61"/>
    </row>
    <row r="3867" spans="8:9">
      <c r="H3867" s="61"/>
      <c r="I3867" s="61"/>
    </row>
    <row r="3868" spans="8:9">
      <c r="H3868" s="61"/>
      <c r="I3868" s="61"/>
    </row>
    <row r="3869" spans="8:9">
      <c r="H3869" s="61"/>
      <c r="I3869" s="61"/>
    </row>
    <row r="3870" spans="8:9">
      <c r="H3870" s="61"/>
      <c r="I3870" s="61"/>
    </row>
    <row r="3871" spans="8:9">
      <c r="H3871" s="61"/>
      <c r="I3871" s="61"/>
    </row>
    <row r="3872" spans="8:9">
      <c r="H3872" s="61"/>
      <c r="I3872" s="61"/>
    </row>
    <row r="3873" spans="8:9">
      <c r="H3873" s="61"/>
      <c r="I3873" s="61"/>
    </row>
    <row r="3874" spans="8:9">
      <c r="H3874" s="61"/>
      <c r="I3874" s="61"/>
    </row>
    <row r="3875" spans="8:9">
      <c r="H3875" s="61"/>
      <c r="I3875" s="61"/>
    </row>
    <row r="3876" spans="8:9">
      <c r="H3876" s="61"/>
      <c r="I3876" s="61"/>
    </row>
    <row r="3877" spans="8:9">
      <c r="H3877" s="61"/>
      <c r="I3877" s="61"/>
    </row>
    <row r="3878" spans="8:9">
      <c r="H3878" s="61"/>
      <c r="I3878" s="61"/>
    </row>
    <row r="3879" spans="8:9">
      <c r="H3879" s="61"/>
      <c r="I3879" s="61"/>
    </row>
    <row r="3880" spans="8:9">
      <c r="H3880" s="61"/>
      <c r="I3880" s="61"/>
    </row>
    <row r="3881" spans="8:9">
      <c r="H3881" s="61"/>
      <c r="I3881" s="61"/>
    </row>
    <row r="3882" spans="8:9">
      <c r="H3882" s="61"/>
      <c r="I3882" s="61"/>
    </row>
    <row r="3883" spans="8:9">
      <c r="H3883" s="61"/>
      <c r="I3883" s="61"/>
    </row>
    <row r="3884" spans="8:9">
      <c r="H3884" s="61"/>
      <c r="I3884" s="61"/>
    </row>
    <row r="3885" spans="8:9">
      <c r="H3885" s="61"/>
      <c r="I3885" s="61"/>
    </row>
    <row r="3886" spans="8:9">
      <c r="H3886" s="61"/>
      <c r="I3886" s="61"/>
    </row>
    <row r="3887" spans="8:9">
      <c r="H3887" s="61"/>
      <c r="I3887" s="61"/>
    </row>
    <row r="3888" spans="8:9">
      <c r="H3888" s="61"/>
      <c r="I3888" s="61"/>
    </row>
    <row r="3889" spans="8:9">
      <c r="H3889" s="61"/>
      <c r="I3889" s="61"/>
    </row>
    <row r="3890" spans="8:9">
      <c r="H3890" s="61"/>
      <c r="I3890" s="61"/>
    </row>
    <row r="3891" spans="8:9">
      <c r="H3891" s="61"/>
      <c r="I3891" s="61"/>
    </row>
    <row r="3892" spans="8:9">
      <c r="H3892" s="61"/>
      <c r="I3892" s="61"/>
    </row>
    <row r="3893" spans="8:9">
      <c r="H3893" s="61"/>
      <c r="I3893" s="61"/>
    </row>
    <row r="3894" spans="8:9">
      <c r="H3894" s="61"/>
      <c r="I3894" s="61"/>
    </row>
    <row r="3895" spans="8:9">
      <c r="H3895" s="61"/>
      <c r="I3895" s="61"/>
    </row>
    <row r="3896" spans="8:9">
      <c r="H3896" s="61"/>
      <c r="I3896" s="61"/>
    </row>
    <row r="3897" spans="8:9">
      <c r="H3897" s="61"/>
      <c r="I3897" s="61"/>
    </row>
    <row r="3898" spans="8:9">
      <c r="H3898" s="61"/>
      <c r="I3898" s="61"/>
    </row>
  </sheetData>
  <sheetProtection selectLockedCells="1"/>
  <mergeCells count="18">
    <mergeCell ref="B1:O1"/>
    <mergeCell ref="S1:T1"/>
    <mergeCell ref="S3:T3"/>
    <mergeCell ref="K4:M4"/>
    <mergeCell ref="O4:Q4"/>
    <mergeCell ref="S5:T5"/>
    <mergeCell ref="S10:T10"/>
    <mergeCell ref="S15:T15"/>
    <mergeCell ref="S20:T20"/>
    <mergeCell ref="S31:T31"/>
    <mergeCell ref="S32:T32"/>
    <mergeCell ref="D3:D34"/>
    <mergeCell ref="G3:G34"/>
    <mergeCell ref="J3:J34"/>
    <mergeCell ref="N3:N34"/>
    <mergeCell ref="R3:R34"/>
    <mergeCell ref="U1:U34"/>
    <mergeCell ref="S27:T29"/>
  </mergeCells>
  <conditionalFormatting sqref="L5">
    <cfRule type="containsText" dxfId="0" priority="1" operator="between" text="NANO WINNER!">
      <formula>NOT(ISERROR(SEARCH("NANO WINNER!",L5)))</formula>
    </cfRule>
  </conditionalFormatting>
  <conditionalFormatting sqref="T23">
    <cfRule type="containsErrors" dxfId="1" priority="4">
      <formula>ISERROR(T23)</formula>
    </cfRule>
  </conditionalFormatting>
  <conditionalFormatting sqref="B5:B34">
    <cfRule type="timePeriod" dxfId="2" priority="2" timePeriod="today">
      <formula>FLOOR(B5,1)=TODAY()</formula>
    </cfRule>
  </conditionalFormatting>
  <conditionalFormatting sqref="H5:H34">
    <cfRule type="cellIs" dxfId="3" priority="23" operator="greaterThan">
      <formula>1666.9</formula>
    </cfRule>
    <cfRule type="cellIs" dxfId="4" priority="40" operator="between">
      <formula>1</formula>
      <formula>749.9</formula>
    </cfRule>
  </conditionalFormatting>
  <conditionalFormatting sqref="I5:I34">
    <cfRule type="cellIs" dxfId="5" priority="9" operator="equal">
      <formula>1667</formula>
    </cfRule>
  </conditionalFormatting>
  <conditionalFormatting sqref="H53:I1048576 H5:H34 H35:I35 H3:I4">
    <cfRule type="cellIs" dxfId="6" priority="22" operator="between">
      <formula>750</formula>
      <formula>1666.9</formula>
    </cfRule>
    <cfRule type="cellIs" dxfId="7" priority="24" operator="equal">
      <formula>1667</formula>
    </cfRule>
  </conditionalFormatting>
  <conditionalFormatting sqref="H5:H34 E6:E34">
    <cfRule type="cellIs" dxfId="5" priority="8" operator="equal">
      <formula>0</formula>
    </cfRule>
  </conditionalFormatting>
  <conditionalFormatting sqref="K5:L5 E6:E34 H5:I34">
    <cfRule type="containsErrors" dxfId="8" priority="13">
      <formula>ISERROR(E5)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6" r:id="rId3">
          <controlPr defaultSize="0" r:id="rId4">
            <anchor moveWithCells="1">
              <from>
                <xdr:col>18</xdr:col>
                <xdr:colOff>45720</xdr:colOff>
                <xdr:row>37</xdr:row>
                <xdr:rowOff>45720</xdr:rowOff>
              </from>
              <to>
                <xdr:col>18</xdr:col>
                <xdr:colOff>792480</xdr:colOff>
                <xdr:row>38</xdr:row>
                <xdr:rowOff>152400</xdr:rowOff>
              </to>
            </anchor>
          </controlPr>
        </control>
      </mc:Choice>
      <mc:Fallback>
        <control shapeId="1026" r:id="rId3"/>
      </mc:Fallback>
    </mc:AlternateContent>
    <mc:AlternateContent xmlns:mc="http://schemas.openxmlformats.org/markup-compatibility/2006">
      <mc:Choice Requires="x14">
        <control shapeId="1027" r:id="rId5">
          <controlPr defaultSize="0" r:id="rId6">
            <anchor moveWithCells="1">
              <from>
                <xdr:col>19</xdr:col>
                <xdr:colOff>60960</xdr:colOff>
                <xdr:row>37</xdr:row>
                <xdr:rowOff>45720</xdr:rowOff>
              </from>
              <to>
                <xdr:col>19</xdr:col>
                <xdr:colOff>800100</xdr:colOff>
                <xdr:row>38</xdr:row>
                <xdr:rowOff>160020</xdr:rowOff>
              </to>
            </anchor>
          </controlPr>
        </control>
      </mc:Choice>
      <mc:Fallback>
        <control shapeId="1027" r:id="rId5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dd1e14a5-d224-4b89-a4a5-1d7539fdb498}">
            <x14:iconSet iconSet="3Symbols" custom="1">
              <x14:cfvo type="percent">
                <xm:f>0</xm:f>
              </x14:cfvo>
              <x14:cfvo type="num">
                <xm:f>750</xm:f>
              </x14:cfvo>
              <x14:cfvo type="num">
                <xm:f>1667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H53:I1048576 H5:H34 H35:I35 H3:I4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0070C0"/>
  </sheetPr>
  <dimension ref="B1:O397"/>
  <sheetViews>
    <sheetView tabSelected="1" workbookViewId="0">
      <selection activeCell="D4" sqref="D4"/>
    </sheetView>
  </sheetViews>
  <sheetFormatPr defaultColWidth="9.1047619047619" defaultRowHeight="15"/>
  <cols>
    <col min="1" max="1" width="0.438095238095238" style="1" customWidth="1"/>
    <col min="2" max="2" width="17.1047619047619" style="1" customWidth="1"/>
    <col min="3" max="3" width="21.6666666666667" style="1" customWidth="1"/>
    <col min="4" max="4" width="18.4285714285714" style="1" customWidth="1"/>
    <col min="5" max="5" width="19.4380952380952" style="1" customWidth="1"/>
    <col min="6" max="6" width="13.552380952381" style="1" customWidth="1"/>
    <col min="7" max="7" width="1.1047619047619" style="1" customWidth="1"/>
    <col min="8" max="8" width="13.552380952381" style="1" customWidth="1"/>
    <col min="9" max="9" width="20.552380952381" style="1" customWidth="1"/>
    <col min="10" max="10" width="18.4380952380952" style="1" customWidth="1"/>
    <col min="11" max="11" width="5.57142857142857" style="1" customWidth="1"/>
    <col min="12" max="12" width="12" style="1" customWidth="1"/>
    <col min="13" max="13" width="11.8857142857143" style="1" customWidth="1"/>
    <col min="14" max="16384" width="9.1047619047619" style="1"/>
  </cols>
  <sheetData>
    <row r="1" ht="3.75" customHeight="1" spans="6:7">
      <c r="F1" s="2">
        <v>1667</v>
      </c>
      <c r="G1" s="3"/>
    </row>
    <row r="2" ht="56.25" customHeight="1" spans="2:15">
      <c r="B2" s="4" t="s">
        <v>1</v>
      </c>
      <c r="C2" s="5" t="s">
        <v>3</v>
      </c>
      <c r="D2" s="5" t="s">
        <v>4</v>
      </c>
      <c r="E2" s="5" t="s">
        <v>5</v>
      </c>
      <c r="F2" s="5" t="s">
        <v>6</v>
      </c>
      <c r="G2" s="3"/>
      <c r="H2" s="5" t="s">
        <v>7</v>
      </c>
      <c r="I2" s="5" t="s">
        <v>8</v>
      </c>
      <c r="J2" s="5" t="s">
        <v>28</v>
      </c>
      <c r="K2" s="7"/>
      <c r="L2" s="15" t="s">
        <v>11</v>
      </c>
      <c r="M2" s="16"/>
      <c r="N2" s="13"/>
      <c r="O2" s="13"/>
    </row>
    <row r="3" ht="19.5" spans="2:15">
      <c r="B3" s="6"/>
      <c r="C3" s="7"/>
      <c r="D3" s="7"/>
      <c r="F3" s="7"/>
      <c r="G3" s="3"/>
      <c r="H3" s="7"/>
      <c r="I3" s="7"/>
      <c r="J3" s="7"/>
      <c r="K3" s="7"/>
      <c r="L3" s="17"/>
      <c r="M3" s="18"/>
      <c r="N3" s="13"/>
      <c r="O3" s="13"/>
    </row>
    <row r="4" ht="27" spans="2:15">
      <c r="B4" s="8">
        <v>43770</v>
      </c>
      <c r="C4" s="9">
        <v>0</v>
      </c>
      <c r="D4" s="10">
        <v>90</v>
      </c>
      <c r="E4" s="9">
        <f>IF(SUM(D4-C4)&lt;=0,0,D4-C4)</f>
        <v>90</v>
      </c>
      <c r="F4" s="9">
        <f>IF(SUM($F$1-E4)&lt;=0,"NONE",SUM($F$1-E4))</f>
        <v>1577</v>
      </c>
      <c r="G4" s="3"/>
      <c r="H4" s="11">
        <f>SUM(E$4:E$33)</f>
        <v>90</v>
      </c>
      <c r="I4" s="19">
        <f>IF(J4-H4&lt;=0,"NANO WINNER!",SUM(J4-H4))</f>
        <v>49910</v>
      </c>
      <c r="J4" s="20">
        <v>50000</v>
      </c>
      <c r="K4" s="21"/>
      <c r="L4" s="22"/>
      <c r="M4" s="23"/>
      <c r="N4" s="13"/>
      <c r="O4" s="13"/>
    </row>
    <row r="5" ht="15.75" customHeight="1" spans="2:15">
      <c r="B5" s="8">
        <v>43771</v>
      </c>
      <c r="C5" s="9">
        <f>IF(D4&lt;=0,0,D4)</f>
        <v>90</v>
      </c>
      <c r="D5" s="10"/>
      <c r="E5" s="9">
        <f t="shared" ref="E5:E33" si="0">IF(SUM(D5-C5)&lt;=0,0,D5-C5)</f>
        <v>0</v>
      </c>
      <c r="F5" s="9">
        <f t="shared" ref="F5:F33" si="1">IF(SUM($F$1-E5)&lt;=0,"NONE",SUM($F$1-E5))</f>
        <v>1667</v>
      </c>
      <c r="G5" s="3"/>
      <c r="H5" s="10"/>
      <c r="I5" s="10"/>
      <c r="J5" s="10"/>
      <c r="K5" s="24"/>
      <c r="L5"/>
      <c r="M5"/>
      <c r="N5" s="13"/>
      <c r="O5" s="13"/>
    </row>
    <row r="6" ht="15.75" customHeight="1" spans="2:15">
      <c r="B6" s="8">
        <v>43772</v>
      </c>
      <c r="C6" s="9">
        <f>IF(D5&lt;=0,C5,D5)</f>
        <v>90</v>
      </c>
      <c r="D6" s="10"/>
      <c r="E6" s="9">
        <f t="shared" si="0"/>
        <v>0</v>
      </c>
      <c r="F6" s="9">
        <f t="shared" si="1"/>
        <v>1667</v>
      </c>
      <c r="G6" s="3"/>
      <c r="H6" s="10"/>
      <c r="I6" s="10"/>
      <c r="J6" s="10"/>
      <c r="K6" s="24"/>
      <c r="L6" s="25"/>
      <c r="M6" s="26"/>
      <c r="N6" s="13"/>
      <c r="O6" s="13"/>
    </row>
    <row r="7" customHeight="1" spans="2:15">
      <c r="B7" s="8">
        <v>43773</v>
      </c>
      <c r="C7" s="9">
        <f t="shared" ref="C7:C33" si="2">IF(D6&lt;=0,C6,D6)</f>
        <v>90</v>
      </c>
      <c r="D7" s="10"/>
      <c r="E7" s="9">
        <f t="shared" si="0"/>
        <v>0</v>
      </c>
      <c r="F7" s="9">
        <f t="shared" si="1"/>
        <v>1667</v>
      </c>
      <c r="G7" s="3"/>
      <c r="H7" s="10"/>
      <c r="I7" s="10"/>
      <c r="J7" s="10"/>
      <c r="K7" s="24"/>
      <c r="L7" s="27" t="s">
        <v>16</v>
      </c>
      <c r="M7" s="28">
        <v>90</v>
      </c>
      <c r="N7" s="13"/>
      <c r="O7" s="13"/>
    </row>
    <row r="8" customHeight="1" spans="2:15">
      <c r="B8" s="8">
        <v>43774</v>
      </c>
      <c r="C8" s="9">
        <f t="shared" si="2"/>
        <v>90</v>
      </c>
      <c r="D8" s="10"/>
      <c r="E8" s="9">
        <f t="shared" si="0"/>
        <v>0</v>
      </c>
      <c r="F8" s="9">
        <f t="shared" si="1"/>
        <v>1667</v>
      </c>
      <c r="G8" s="3"/>
      <c r="H8" s="10"/>
      <c r="I8" s="10"/>
      <c r="J8" s="10"/>
      <c r="K8" s="24"/>
      <c r="L8" s="29" t="s">
        <v>18</v>
      </c>
      <c r="M8" s="30">
        <v>89</v>
      </c>
      <c r="N8" s="13"/>
      <c r="O8" s="13"/>
    </row>
    <row r="9" ht="15.75" customHeight="1" spans="2:15">
      <c r="B9" s="8">
        <v>43775</v>
      </c>
      <c r="C9" s="9">
        <f t="shared" si="2"/>
        <v>90</v>
      </c>
      <c r="D9" s="10"/>
      <c r="E9" s="9">
        <f t="shared" si="0"/>
        <v>0</v>
      </c>
      <c r="F9" s="9">
        <f t="shared" si="1"/>
        <v>1667</v>
      </c>
      <c r="G9" s="3"/>
      <c r="H9" s="10"/>
      <c r="I9" s="10"/>
      <c r="J9" s="10"/>
      <c r="K9" s="24"/>
      <c r="L9" s="31" t="s">
        <v>20</v>
      </c>
      <c r="M9" s="32">
        <f>SUM(M7-M8)</f>
        <v>1</v>
      </c>
      <c r="N9" s="13"/>
      <c r="O9" s="13"/>
    </row>
    <row r="10" ht="15.75" customHeight="1" spans="2:15">
      <c r="B10" s="8">
        <v>43776</v>
      </c>
      <c r="C10" s="9">
        <f t="shared" si="2"/>
        <v>90</v>
      </c>
      <c r="D10" s="10"/>
      <c r="E10" s="9">
        <f t="shared" si="0"/>
        <v>0</v>
      </c>
      <c r="F10" s="9">
        <f t="shared" si="1"/>
        <v>1667</v>
      </c>
      <c r="G10" s="3"/>
      <c r="H10" s="10"/>
      <c r="I10" s="10"/>
      <c r="J10" s="10"/>
      <c r="K10"/>
      <c r="L10"/>
      <c r="M10"/>
      <c r="N10"/>
      <c r="O10" s="13"/>
    </row>
    <row r="11" customHeight="1" spans="2:15">
      <c r="B11" s="8">
        <v>43777</v>
      </c>
      <c r="C11" s="9">
        <f t="shared" si="2"/>
        <v>90</v>
      </c>
      <c r="D11" s="10"/>
      <c r="E11" s="9">
        <f t="shared" si="0"/>
        <v>0</v>
      </c>
      <c r="F11" s="9">
        <f t="shared" si="1"/>
        <v>1667</v>
      </c>
      <c r="G11" s="3"/>
      <c r="H11" s="10"/>
      <c r="I11" s="10"/>
      <c r="J11" s="10"/>
      <c r="K11" s="24"/>
      <c r="L11" s="33" t="s">
        <v>29</v>
      </c>
      <c r="M11" s="34"/>
      <c r="N11" s="13"/>
      <c r="O11" s="13"/>
    </row>
    <row r="12" customHeight="1" spans="2:15">
      <c r="B12" s="8">
        <v>43778</v>
      </c>
      <c r="C12" s="9">
        <f t="shared" si="2"/>
        <v>90</v>
      </c>
      <c r="D12" s="10"/>
      <c r="E12" s="9">
        <f t="shared" si="0"/>
        <v>0</v>
      </c>
      <c r="F12" s="9">
        <f t="shared" si="1"/>
        <v>1667</v>
      </c>
      <c r="G12" s="3"/>
      <c r="H12" s="10"/>
      <c r="I12" s="10"/>
      <c r="J12" s="10"/>
      <c r="K12" s="24"/>
      <c r="L12" s="27" t="s">
        <v>16</v>
      </c>
      <c r="M12" s="28"/>
      <c r="N12" s="13"/>
      <c r="O12" s="13"/>
    </row>
    <row r="13" ht="15.75" customHeight="1" spans="2:15">
      <c r="B13" s="8">
        <v>43779</v>
      </c>
      <c r="C13" s="9">
        <f t="shared" si="2"/>
        <v>90</v>
      </c>
      <c r="D13" s="10"/>
      <c r="E13" s="9">
        <f t="shared" si="0"/>
        <v>0</v>
      </c>
      <c r="F13" s="9">
        <f t="shared" si="1"/>
        <v>1667</v>
      </c>
      <c r="G13" s="3"/>
      <c r="H13" s="10"/>
      <c r="I13" s="10"/>
      <c r="J13" s="10"/>
      <c r="K13" s="24"/>
      <c r="L13" s="29" t="s">
        <v>18</v>
      </c>
      <c r="M13" s="30"/>
      <c r="N13" s="13"/>
      <c r="O13" s="13"/>
    </row>
    <row r="14" ht="15.75" customHeight="1" spans="2:15">
      <c r="B14" s="8">
        <v>43780</v>
      </c>
      <c r="C14" s="9">
        <f t="shared" si="2"/>
        <v>90</v>
      </c>
      <c r="D14" s="10"/>
      <c r="E14" s="9">
        <f t="shared" si="0"/>
        <v>0</v>
      </c>
      <c r="F14" s="9">
        <f t="shared" si="1"/>
        <v>1667</v>
      </c>
      <c r="G14" s="3"/>
      <c r="H14" s="10"/>
      <c r="I14" s="10"/>
      <c r="J14" s="10"/>
      <c r="K14" s="24"/>
      <c r="L14" s="31" t="s">
        <v>20</v>
      </c>
      <c r="M14" s="32">
        <f>SUM(M12+M13)</f>
        <v>0</v>
      </c>
      <c r="N14" s="13"/>
      <c r="O14" s="13"/>
    </row>
    <row r="15" customHeight="1" spans="2:15">
      <c r="B15" s="8">
        <v>43781</v>
      </c>
      <c r="C15" s="9">
        <f t="shared" si="2"/>
        <v>90</v>
      </c>
      <c r="D15" s="10"/>
      <c r="E15" s="9">
        <f t="shared" si="0"/>
        <v>0</v>
      </c>
      <c r="F15" s="9">
        <f t="shared" si="1"/>
        <v>1667</v>
      </c>
      <c r="G15" s="3"/>
      <c r="H15" s="10"/>
      <c r="I15" s="10"/>
      <c r="J15" s="10"/>
      <c r="K15"/>
      <c r="L15"/>
      <c r="M15"/>
      <c r="N15"/>
      <c r="O15" s="13"/>
    </row>
    <row r="16" customHeight="1" spans="2:15">
      <c r="B16" s="8">
        <v>43782</v>
      </c>
      <c r="C16" s="9">
        <f t="shared" si="2"/>
        <v>90</v>
      </c>
      <c r="D16" s="10"/>
      <c r="E16" s="9">
        <f t="shared" si="0"/>
        <v>0</v>
      </c>
      <c r="F16" s="9">
        <f t="shared" si="1"/>
        <v>1667</v>
      </c>
      <c r="G16" s="3"/>
      <c r="H16" s="10"/>
      <c r="I16" s="10"/>
      <c r="J16" s="10"/>
      <c r="K16" s="24"/>
      <c r="L16" s="35" t="s">
        <v>30</v>
      </c>
      <c r="M16" s="36"/>
      <c r="N16" s="13"/>
      <c r="O16" s="13"/>
    </row>
    <row r="17" ht="15.75" customHeight="1" spans="2:15">
      <c r="B17" s="8">
        <v>43783</v>
      </c>
      <c r="C17" s="9">
        <f t="shared" si="2"/>
        <v>90</v>
      </c>
      <c r="D17" s="10"/>
      <c r="E17" s="9">
        <f t="shared" si="0"/>
        <v>0</v>
      </c>
      <c r="F17" s="9">
        <f t="shared" si="1"/>
        <v>1667</v>
      </c>
      <c r="G17" s="3"/>
      <c r="H17" s="10"/>
      <c r="I17" s="10"/>
      <c r="J17" s="10"/>
      <c r="K17" s="24"/>
      <c r="L17" s="27" t="s">
        <v>16</v>
      </c>
      <c r="M17" s="28"/>
      <c r="N17" s="13"/>
      <c r="O17" s="13"/>
    </row>
    <row r="18" ht="15.75" customHeight="1" spans="2:15">
      <c r="B18" s="8">
        <v>43784</v>
      </c>
      <c r="C18" s="9">
        <f t="shared" si="2"/>
        <v>90</v>
      </c>
      <c r="D18" s="10"/>
      <c r="E18" s="9">
        <f t="shared" si="0"/>
        <v>0</v>
      </c>
      <c r="F18" s="9">
        <f t="shared" si="1"/>
        <v>1667</v>
      </c>
      <c r="G18" s="3"/>
      <c r="H18" s="10"/>
      <c r="I18" s="10"/>
      <c r="J18" s="10"/>
      <c r="K18" s="24"/>
      <c r="L18" s="29" t="s">
        <v>18</v>
      </c>
      <c r="M18" s="30"/>
      <c r="N18" s="13"/>
      <c r="O18" s="13"/>
    </row>
    <row r="19" customHeight="1" spans="2:15">
      <c r="B19" s="8">
        <v>43785</v>
      </c>
      <c r="C19" s="9">
        <f t="shared" si="2"/>
        <v>90</v>
      </c>
      <c r="D19" s="10"/>
      <c r="E19" s="9">
        <f t="shared" si="0"/>
        <v>0</v>
      </c>
      <c r="F19" s="9">
        <f t="shared" si="1"/>
        <v>1667</v>
      </c>
      <c r="G19" s="3"/>
      <c r="H19" s="10"/>
      <c r="I19" s="10"/>
      <c r="J19" s="10"/>
      <c r="K19"/>
      <c r="L19" s="31" t="s">
        <v>20</v>
      </c>
      <c r="M19" s="32" t="e">
        <f>SUM(M17/M18)</f>
        <v>#DIV/0!</v>
      </c>
      <c r="N19"/>
      <c r="O19" s="13"/>
    </row>
    <row r="20" customHeight="1" spans="2:15">
      <c r="B20" s="8">
        <v>43786</v>
      </c>
      <c r="C20" s="9">
        <f t="shared" si="2"/>
        <v>90</v>
      </c>
      <c r="D20" s="10"/>
      <c r="E20" s="9">
        <f t="shared" si="0"/>
        <v>0</v>
      </c>
      <c r="F20" s="9">
        <f t="shared" si="1"/>
        <v>1667</v>
      </c>
      <c r="G20" s="3"/>
      <c r="H20" s="10"/>
      <c r="I20" s="10"/>
      <c r="J20" s="10"/>
      <c r="K20"/>
      <c r="L20"/>
      <c r="M20"/>
      <c r="N20"/>
      <c r="O20" s="13"/>
    </row>
    <row r="21" ht="15.75" customHeight="1" spans="2:15">
      <c r="B21" s="8">
        <v>43787</v>
      </c>
      <c r="C21" s="9">
        <f t="shared" si="2"/>
        <v>90</v>
      </c>
      <c r="D21" s="10"/>
      <c r="E21" s="9">
        <f t="shared" si="0"/>
        <v>0</v>
      </c>
      <c r="F21" s="9">
        <f t="shared" si="1"/>
        <v>1667</v>
      </c>
      <c r="G21" s="3"/>
      <c r="H21" s="10"/>
      <c r="I21" s="10"/>
      <c r="J21" s="10"/>
      <c r="K21" s="24"/>
      <c r="L21" s="37" t="s">
        <v>31</v>
      </c>
      <c r="M21" s="38"/>
      <c r="N21" s="13"/>
      <c r="O21" s="13"/>
    </row>
    <row r="22" customHeight="1" spans="2:15">
      <c r="B22" s="8">
        <v>43788</v>
      </c>
      <c r="C22" s="9">
        <f t="shared" si="2"/>
        <v>90</v>
      </c>
      <c r="D22" s="10"/>
      <c r="E22" s="9">
        <f t="shared" si="0"/>
        <v>0</v>
      </c>
      <c r="F22" s="9">
        <f t="shared" si="1"/>
        <v>1667</v>
      </c>
      <c r="G22" s="3"/>
      <c r="H22" s="10"/>
      <c r="I22" s="10"/>
      <c r="J22" s="10"/>
      <c r="K22" s="24"/>
      <c r="L22" s="27" t="s">
        <v>16</v>
      </c>
      <c r="M22" s="28"/>
      <c r="N22" s="13"/>
      <c r="O22" s="13"/>
    </row>
    <row r="23" customHeight="1" spans="2:15">
      <c r="B23" s="8">
        <v>43789</v>
      </c>
      <c r="C23" s="9">
        <f t="shared" si="2"/>
        <v>90</v>
      </c>
      <c r="D23" s="10"/>
      <c r="E23" s="9">
        <f t="shared" si="0"/>
        <v>0</v>
      </c>
      <c r="F23" s="9">
        <f t="shared" si="1"/>
        <v>1667</v>
      </c>
      <c r="G23" s="3"/>
      <c r="H23" s="10"/>
      <c r="I23" s="10"/>
      <c r="J23" s="10"/>
      <c r="K23" s="24"/>
      <c r="L23" s="29" t="s">
        <v>18</v>
      </c>
      <c r="M23" s="39"/>
      <c r="N23" s="13"/>
      <c r="O23" s="13"/>
    </row>
    <row r="24" customHeight="1" spans="2:15">
      <c r="B24" s="8">
        <v>43790</v>
      </c>
      <c r="C24" s="9">
        <f t="shared" si="2"/>
        <v>90</v>
      </c>
      <c r="D24" s="10"/>
      <c r="E24" s="9">
        <f t="shared" si="0"/>
        <v>0</v>
      </c>
      <c r="F24" s="9">
        <f t="shared" si="1"/>
        <v>1667</v>
      </c>
      <c r="G24" s="3"/>
      <c r="H24" s="10"/>
      <c r="I24" s="10"/>
      <c r="J24" s="10"/>
      <c r="K24" s="24"/>
      <c r="L24" s="31" t="s">
        <v>20</v>
      </c>
      <c r="M24" s="32">
        <f>SUM(M22*M23)</f>
        <v>0</v>
      </c>
      <c r="N24" s="13"/>
      <c r="O24" s="13"/>
    </row>
    <row r="25" customHeight="1" spans="2:15">
      <c r="B25" s="8">
        <v>43791</v>
      </c>
      <c r="C25" s="9">
        <f t="shared" si="2"/>
        <v>90</v>
      </c>
      <c r="D25" s="10"/>
      <c r="E25" s="9">
        <f t="shared" si="0"/>
        <v>0</v>
      </c>
      <c r="F25" s="9">
        <f t="shared" si="1"/>
        <v>1667</v>
      </c>
      <c r="G25" s="3"/>
      <c r="H25" s="10"/>
      <c r="I25" s="10"/>
      <c r="J25" s="10"/>
      <c r="K25" s="24"/>
      <c r="L25" s="13"/>
      <c r="M25" s="13"/>
      <c r="N25" s="13"/>
      <c r="O25" s="13"/>
    </row>
    <row r="26" customHeight="1" spans="2:15">
      <c r="B26" s="8">
        <v>43792</v>
      </c>
      <c r="C26" s="9">
        <f t="shared" si="2"/>
        <v>90</v>
      </c>
      <c r="D26" s="10"/>
      <c r="E26" s="9">
        <f t="shared" si="0"/>
        <v>0</v>
      </c>
      <c r="F26" s="9">
        <f t="shared" si="1"/>
        <v>1667</v>
      </c>
      <c r="G26" s="3"/>
      <c r="H26" s="10"/>
      <c r="I26" s="10"/>
      <c r="J26" s="10"/>
      <c r="K26" s="24"/>
      <c r="L26" s="13"/>
      <c r="M26" s="13"/>
      <c r="N26" s="13"/>
      <c r="O26" s="13"/>
    </row>
    <row r="27" customHeight="1" spans="2:15">
      <c r="B27" s="8">
        <v>43793</v>
      </c>
      <c r="C27" s="9">
        <f t="shared" si="2"/>
        <v>90</v>
      </c>
      <c r="D27" s="10"/>
      <c r="E27" s="9">
        <f t="shared" si="0"/>
        <v>0</v>
      </c>
      <c r="F27" s="9">
        <f t="shared" si="1"/>
        <v>1667</v>
      </c>
      <c r="G27" s="3"/>
      <c r="H27" s="10"/>
      <c r="I27" s="10"/>
      <c r="J27" s="10"/>
      <c r="K27" s="24"/>
      <c r="L27" s="13"/>
      <c r="M27" s="13"/>
      <c r="N27" s="13"/>
      <c r="O27" s="13"/>
    </row>
    <row r="28" customHeight="1" spans="2:15">
      <c r="B28" s="8">
        <v>43794</v>
      </c>
      <c r="C28" s="9">
        <f t="shared" si="2"/>
        <v>90</v>
      </c>
      <c r="D28" s="10"/>
      <c r="E28" s="9">
        <f t="shared" si="0"/>
        <v>0</v>
      </c>
      <c r="F28" s="9">
        <f t="shared" si="1"/>
        <v>1667</v>
      </c>
      <c r="G28" s="3"/>
      <c r="H28" s="10"/>
      <c r="I28" s="10"/>
      <c r="J28" s="10"/>
      <c r="K28" s="24"/>
      <c r="L28" s="13"/>
      <c r="M28" s="13"/>
      <c r="N28" s="13"/>
      <c r="O28" s="13"/>
    </row>
    <row r="29" customHeight="1" spans="2:15">
      <c r="B29" s="8">
        <v>43795</v>
      </c>
      <c r="C29" s="9">
        <f t="shared" si="2"/>
        <v>90</v>
      </c>
      <c r="D29" s="10"/>
      <c r="E29" s="9">
        <f t="shared" si="0"/>
        <v>0</v>
      </c>
      <c r="F29" s="9">
        <f t="shared" si="1"/>
        <v>1667</v>
      </c>
      <c r="G29" s="3"/>
      <c r="H29" s="10"/>
      <c r="I29" s="10"/>
      <c r="J29" s="10"/>
      <c r="K29" s="24"/>
      <c r="L29" s="13"/>
      <c r="M29" s="13"/>
      <c r="N29" s="13"/>
      <c r="O29" s="13"/>
    </row>
    <row r="30" customHeight="1" spans="2:15">
      <c r="B30" s="8">
        <v>43796</v>
      </c>
      <c r="C30" s="9">
        <f t="shared" si="2"/>
        <v>90</v>
      </c>
      <c r="D30" s="10"/>
      <c r="E30" s="9">
        <f t="shared" si="0"/>
        <v>0</v>
      </c>
      <c r="F30" s="9">
        <f t="shared" si="1"/>
        <v>1667</v>
      </c>
      <c r="G30" s="3"/>
      <c r="H30" s="10"/>
      <c r="I30" s="10"/>
      <c r="J30" s="10"/>
      <c r="K30" s="24"/>
      <c r="L30" s="13"/>
      <c r="M30" s="13"/>
      <c r="N30" s="13"/>
      <c r="O30" s="13"/>
    </row>
    <row r="31" customHeight="1" spans="2:15">
      <c r="B31" s="8">
        <v>43797</v>
      </c>
      <c r="C31" s="9">
        <f t="shared" si="2"/>
        <v>90</v>
      </c>
      <c r="D31" s="10"/>
      <c r="E31" s="9">
        <f t="shared" si="0"/>
        <v>0</v>
      </c>
      <c r="F31" s="9">
        <f t="shared" si="1"/>
        <v>1667</v>
      </c>
      <c r="G31" s="3"/>
      <c r="H31" s="10"/>
      <c r="I31" s="10"/>
      <c r="J31" s="10"/>
      <c r="K31" s="24"/>
      <c r="L31" s="13"/>
      <c r="M31" s="13"/>
      <c r="N31" s="13"/>
      <c r="O31" s="13"/>
    </row>
    <row r="32" customHeight="1" spans="2:15">
      <c r="B32" s="8">
        <v>43798</v>
      </c>
      <c r="C32" s="9">
        <f t="shared" si="2"/>
        <v>90</v>
      </c>
      <c r="D32" s="10"/>
      <c r="E32" s="9">
        <f t="shared" si="0"/>
        <v>0</v>
      </c>
      <c r="F32" s="9">
        <f t="shared" si="1"/>
        <v>1667</v>
      </c>
      <c r="G32" s="3"/>
      <c r="H32" s="10"/>
      <c r="I32" s="10"/>
      <c r="J32" s="10"/>
      <c r="K32" s="24"/>
      <c r="L32" s="13"/>
      <c r="M32" s="13"/>
      <c r="N32" s="13"/>
      <c r="O32" s="13"/>
    </row>
    <row r="33" customHeight="1" spans="2:15">
      <c r="B33" s="8">
        <v>43799</v>
      </c>
      <c r="C33" s="9">
        <f t="shared" si="2"/>
        <v>90</v>
      </c>
      <c r="D33" s="10"/>
      <c r="E33" s="9">
        <f t="shared" si="0"/>
        <v>0</v>
      </c>
      <c r="F33" s="9">
        <f t="shared" si="1"/>
        <v>1667</v>
      </c>
      <c r="G33" s="3"/>
      <c r="H33" s="10"/>
      <c r="I33" s="10"/>
      <c r="J33" s="10"/>
      <c r="K33" s="24"/>
      <c r="L33" s="13"/>
      <c r="M33" s="13"/>
      <c r="N33" s="13"/>
      <c r="O33" s="13"/>
    </row>
    <row r="34" customHeight="1" spans="2:15">
      <c r="B34" s="12"/>
      <c r="C34" s="13"/>
      <c r="D34" s="13"/>
      <c r="F34" s="14"/>
      <c r="G34" s="3"/>
      <c r="H34" s="13"/>
      <c r="I34" s="13"/>
      <c r="J34" s="13"/>
      <c r="K34" s="13"/>
      <c r="L34" s="14"/>
      <c r="M34" s="13"/>
      <c r="N34" s="13"/>
      <c r="O34" s="13"/>
    </row>
    <row r="35" customHeight="1" spans="7:7">
      <c r="G35" s="3"/>
    </row>
    <row r="36" customHeight="1" spans="7:7">
      <c r="G36" s="3"/>
    </row>
    <row r="37" customHeight="1" spans="7:7">
      <c r="G37" s="3"/>
    </row>
    <row r="38" customHeight="1" spans="7:7">
      <c r="G38" s="3"/>
    </row>
    <row r="39" customHeight="1" spans="7:7">
      <c r="G39" s="3"/>
    </row>
    <row r="40" customHeight="1" spans="7:7">
      <c r="G40" s="3"/>
    </row>
    <row r="41" customHeight="1" spans="7:7">
      <c r="G41" s="3"/>
    </row>
    <row r="42" customHeight="1" spans="7:7">
      <c r="G42" s="3"/>
    </row>
    <row r="43" customHeight="1" spans="7:7">
      <c r="G43" s="3"/>
    </row>
    <row r="44" customHeight="1" spans="7:7">
      <c r="G44" s="3"/>
    </row>
    <row r="45" customHeight="1" spans="7:7">
      <c r="G45" s="3"/>
    </row>
    <row r="46" customHeight="1" spans="7:7">
      <c r="G46" s="3"/>
    </row>
    <row r="47" customHeight="1" spans="7:7">
      <c r="G47" s="3"/>
    </row>
    <row r="48" customHeight="1" spans="7:7">
      <c r="G48" s="3"/>
    </row>
    <row r="49" customHeight="1" spans="7:7">
      <c r="G49" s="3"/>
    </row>
    <row r="50" customHeight="1" spans="7:7">
      <c r="G50" s="3"/>
    </row>
    <row r="51" customHeight="1" spans="7:7">
      <c r="G51" s="3"/>
    </row>
    <row r="52" customHeight="1" spans="7:7">
      <c r="G52" s="3"/>
    </row>
    <row r="53" customHeight="1" spans="7:7">
      <c r="G53" s="3"/>
    </row>
    <row r="54" customHeight="1" spans="7:7">
      <c r="G54" s="3"/>
    </row>
    <row r="55" customHeight="1" spans="7:7">
      <c r="G55" s="3"/>
    </row>
    <row r="56" customHeight="1" spans="7:7">
      <c r="G56" s="3"/>
    </row>
    <row r="57" customHeight="1" spans="7:7">
      <c r="G57" s="3"/>
    </row>
    <row r="58" customHeight="1" spans="7:7">
      <c r="G58" s="3"/>
    </row>
    <row r="59" customHeight="1" spans="7:7">
      <c r="G59" s="3"/>
    </row>
    <row r="60" customHeight="1" spans="7:7">
      <c r="G60" s="3"/>
    </row>
    <row r="61" customHeight="1" spans="7:7">
      <c r="G61" s="3"/>
    </row>
    <row r="62" customHeight="1" spans="7:7">
      <c r="G62" s="3"/>
    </row>
    <row r="63" customHeight="1" spans="7:7">
      <c r="G63" s="3"/>
    </row>
    <row r="64" customHeight="1" spans="7:7">
      <c r="G64" s="3"/>
    </row>
    <row r="65" customHeight="1" spans="7:7">
      <c r="G65" s="3"/>
    </row>
    <row r="66" customHeight="1" spans="7:7">
      <c r="G66" s="3"/>
    </row>
    <row r="67" customHeight="1" spans="7:7">
      <c r="G67" s="3"/>
    </row>
    <row r="68" customHeight="1" spans="7:7">
      <c r="G68" s="3"/>
    </row>
    <row r="69" customHeight="1" spans="7:7">
      <c r="G69" s="3"/>
    </row>
    <row r="70" customHeight="1" spans="7:7">
      <c r="G70" s="3"/>
    </row>
    <row r="71" customHeight="1" spans="7:7">
      <c r="G71" s="3"/>
    </row>
    <row r="72" customHeight="1" spans="7:7">
      <c r="G72" s="3"/>
    </row>
    <row r="73" customHeight="1" spans="7:7">
      <c r="G73" s="3"/>
    </row>
    <row r="74" customHeight="1" spans="7:7">
      <c r="G74" s="3"/>
    </row>
    <row r="75" customHeight="1" spans="7:7">
      <c r="G75" s="3"/>
    </row>
    <row r="76" customHeight="1" spans="7:7">
      <c r="G76" s="3"/>
    </row>
    <row r="77" customHeight="1" spans="7:7">
      <c r="G77" s="3"/>
    </row>
    <row r="78" customHeight="1" spans="7:7">
      <c r="G78" s="3"/>
    </row>
    <row r="79" customHeight="1" spans="7:7">
      <c r="G79" s="3"/>
    </row>
    <row r="80" customHeight="1" spans="7:7">
      <c r="G80" s="3"/>
    </row>
    <row r="81" customHeight="1" spans="7:7">
      <c r="G81" s="3"/>
    </row>
    <row r="82" customHeight="1" spans="7:7">
      <c r="G82" s="3"/>
    </row>
    <row r="83" customHeight="1" spans="7:7">
      <c r="G83" s="3"/>
    </row>
    <row r="84" customHeight="1" spans="7:7">
      <c r="G84" s="3"/>
    </row>
    <row r="85" customHeight="1" spans="7:7">
      <c r="G85" s="3"/>
    </row>
    <row r="86" customHeight="1" spans="7:7">
      <c r="G86" s="3"/>
    </row>
    <row r="87" customHeight="1" spans="7:7">
      <c r="G87" s="3"/>
    </row>
    <row r="88" customHeight="1" spans="7:7">
      <c r="G88" s="3"/>
    </row>
    <row r="89" customHeight="1" spans="7:7">
      <c r="G89" s="3"/>
    </row>
    <row r="90" customHeight="1" spans="7:7">
      <c r="G90" s="3"/>
    </row>
    <row r="91" customHeight="1" spans="7:7">
      <c r="G91" s="3"/>
    </row>
    <row r="92" customHeight="1" spans="7:7">
      <c r="G92" s="3"/>
    </row>
    <row r="93" customHeight="1" spans="7:7">
      <c r="G93" s="3"/>
    </row>
    <row r="94" customHeight="1" spans="7:7">
      <c r="G94" s="3"/>
    </row>
    <row r="95" customHeight="1" spans="7:7">
      <c r="G95" s="3"/>
    </row>
    <row r="96" customHeight="1" spans="7:7">
      <c r="G96" s="3"/>
    </row>
    <row r="97" customHeight="1" spans="7:7">
      <c r="G97" s="3"/>
    </row>
    <row r="98" customHeight="1" spans="7:7">
      <c r="G98" s="3"/>
    </row>
    <row r="99" customHeight="1" spans="7:7">
      <c r="G99" s="3"/>
    </row>
    <row r="100" customHeight="1" spans="7:7">
      <c r="G100" s="3"/>
    </row>
    <row r="101" customHeight="1" spans="7:7">
      <c r="G101" s="3"/>
    </row>
    <row r="102" customHeight="1" spans="7:7">
      <c r="G102" s="3"/>
    </row>
    <row r="103" customHeight="1" spans="7:7">
      <c r="G103" s="3"/>
    </row>
    <row r="104" customHeight="1" spans="7:7">
      <c r="G104" s="3"/>
    </row>
    <row r="105" customHeight="1" spans="7:7">
      <c r="G105" s="3"/>
    </row>
    <row r="106" customHeight="1" spans="7:7">
      <c r="G106" s="3"/>
    </row>
    <row r="107" customHeight="1" spans="7:7">
      <c r="G107" s="3"/>
    </row>
    <row r="108" customHeight="1" spans="7:7">
      <c r="G108" s="3"/>
    </row>
    <row r="109" customHeight="1" spans="7:7">
      <c r="G109" s="3"/>
    </row>
    <row r="110" customHeight="1" spans="7:7">
      <c r="G110" s="3"/>
    </row>
    <row r="111" customHeight="1" spans="7:7">
      <c r="G111" s="3"/>
    </row>
    <row r="112" customHeight="1" spans="7:7">
      <c r="G112" s="3"/>
    </row>
    <row r="113" customHeight="1" spans="7:7">
      <c r="G113" s="3"/>
    </row>
    <row r="114" customHeight="1" spans="7:7">
      <c r="G114" s="3"/>
    </row>
    <row r="115" customHeight="1" spans="7:7">
      <c r="G115" s="3"/>
    </row>
    <row r="116" customHeight="1" spans="7:7">
      <c r="G116" s="3"/>
    </row>
    <row r="117" customHeight="1" spans="7:7">
      <c r="G117" s="3"/>
    </row>
    <row r="118" customHeight="1" spans="7:7">
      <c r="G118" s="3"/>
    </row>
    <row r="119" customHeight="1" spans="7:7">
      <c r="G119" s="3"/>
    </row>
    <row r="120" customHeight="1" spans="7:7">
      <c r="G120" s="3"/>
    </row>
    <row r="121" customHeight="1" spans="7:7">
      <c r="G121" s="3"/>
    </row>
    <row r="122" customHeight="1" spans="7:7">
      <c r="G122" s="3"/>
    </row>
    <row r="123" customHeight="1" spans="7:7">
      <c r="G123" s="3"/>
    </row>
    <row r="124" customHeight="1" spans="7:7">
      <c r="G124" s="3"/>
    </row>
    <row r="125" customHeight="1" spans="7:7">
      <c r="G125" s="3"/>
    </row>
    <row r="126" customHeight="1" spans="7:7">
      <c r="G126" s="3"/>
    </row>
    <row r="127" customHeight="1" spans="7:7">
      <c r="G127" s="3"/>
    </row>
    <row r="128" customHeight="1" spans="7:7">
      <c r="G128" s="3"/>
    </row>
    <row r="129" customHeight="1" spans="7:7">
      <c r="G129" s="3"/>
    </row>
    <row r="130" customHeight="1" spans="7:7">
      <c r="G130" s="3"/>
    </row>
    <row r="131" customHeight="1" spans="7:7">
      <c r="G131" s="3"/>
    </row>
    <row r="132" customHeight="1" spans="7:7">
      <c r="G132" s="3"/>
    </row>
    <row r="133" customHeight="1" spans="7:7">
      <c r="G133" s="3"/>
    </row>
    <row r="134" customHeight="1" spans="7:7">
      <c r="G134" s="3"/>
    </row>
    <row r="135" customHeight="1" spans="7:7">
      <c r="G135" s="3"/>
    </row>
    <row r="136" customHeight="1" spans="7:7">
      <c r="G136" s="3"/>
    </row>
    <row r="137" customHeight="1" spans="7:7">
      <c r="G137" s="3"/>
    </row>
    <row r="138" customHeight="1" spans="7:7">
      <c r="G138" s="3"/>
    </row>
    <row r="139" customHeight="1" spans="7:7">
      <c r="G139" s="3"/>
    </row>
    <row r="140" customHeight="1" spans="7:7">
      <c r="G140" s="3"/>
    </row>
    <row r="141" customHeight="1" spans="7:7">
      <c r="G141" s="3"/>
    </row>
    <row r="142" customHeight="1" spans="7:7">
      <c r="G142" s="3"/>
    </row>
    <row r="143" customHeight="1" spans="7:7">
      <c r="G143" s="3"/>
    </row>
    <row r="144" customHeight="1" spans="7:7">
      <c r="G144" s="3"/>
    </row>
    <row r="145" customHeight="1" spans="7:7">
      <c r="G145" s="3"/>
    </row>
    <row r="146" customHeight="1" spans="7:7">
      <c r="G146" s="3"/>
    </row>
    <row r="147" customHeight="1" spans="7:7">
      <c r="G147" s="3"/>
    </row>
    <row r="148" customHeight="1" spans="7:7">
      <c r="G148" s="3"/>
    </row>
    <row r="149" customHeight="1" spans="7:7">
      <c r="G149" s="3"/>
    </row>
    <row r="150" customHeight="1" spans="7:7">
      <c r="G150" s="3"/>
    </row>
    <row r="151" customHeight="1" spans="7:7">
      <c r="G151" s="3"/>
    </row>
    <row r="152" customHeight="1" spans="7:7">
      <c r="G152" s="3"/>
    </row>
    <row r="153" customHeight="1" spans="7:7">
      <c r="G153" s="3"/>
    </row>
    <row r="154" customHeight="1" spans="7:7">
      <c r="G154" s="3"/>
    </row>
    <row r="155" customHeight="1" spans="7:7">
      <c r="G155" s="3"/>
    </row>
    <row r="156" customHeight="1" spans="7:7">
      <c r="G156" s="3"/>
    </row>
    <row r="157" customHeight="1" spans="7:7">
      <c r="G157" s="3"/>
    </row>
    <row r="158" customHeight="1" spans="7:7">
      <c r="G158" s="3"/>
    </row>
    <row r="159" customHeight="1" spans="7:7">
      <c r="G159" s="3"/>
    </row>
    <row r="160" customHeight="1" spans="7:7">
      <c r="G160" s="3"/>
    </row>
    <row r="161" customHeight="1" spans="7:7">
      <c r="G161" s="3"/>
    </row>
    <row r="162" customHeight="1" spans="7:7">
      <c r="G162" s="3"/>
    </row>
    <row r="163" customHeight="1" spans="7:7">
      <c r="G163" s="3"/>
    </row>
    <row r="164" customHeight="1" spans="7:7">
      <c r="G164" s="3"/>
    </row>
    <row r="165" customHeight="1" spans="7:7">
      <c r="G165" s="3"/>
    </row>
    <row r="166" customHeight="1" spans="7:7">
      <c r="G166" s="3"/>
    </row>
    <row r="167" customHeight="1" spans="7:7">
      <c r="G167" s="3"/>
    </row>
    <row r="168" customHeight="1" spans="7:7">
      <c r="G168" s="3"/>
    </row>
    <row r="169" customHeight="1" spans="7:7">
      <c r="G169" s="3"/>
    </row>
    <row r="170" customHeight="1" spans="7:7">
      <c r="G170" s="3"/>
    </row>
    <row r="171" customHeight="1" spans="7:7">
      <c r="G171" s="3"/>
    </row>
    <row r="172" customHeight="1" spans="7:7">
      <c r="G172" s="3"/>
    </row>
    <row r="173" customHeight="1" spans="7:7">
      <c r="G173" s="3"/>
    </row>
    <row r="174" customHeight="1" spans="7:7">
      <c r="G174" s="3"/>
    </row>
    <row r="175" customHeight="1" spans="7:7">
      <c r="G175" s="3"/>
    </row>
    <row r="176" customHeight="1" spans="7:7">
      <c r="G176" s="3"/>
    </row>
    <row r="177" customHeight="1" spans="7:7">
      <c r="G177" s="3"/>
    </row>
    <row r="178" customHeight="1" spans="7:7">
      <c r="G178" s="3"/>
    </row>
    <row r="179" customHeight="1" spans="7:7">
      <c r="G179" s="3"/>
    </row>
    <row r="180" customHeight="1" spans="7:7">
      <c r="G180" s="3"/>
    </row>
    <row r="181" customHeight="1" spans="7:7">
      <c r="G181" s="3"/>
    </row>
    <row r="182" customHeight="1" spans="7:7">
      <c r="G182" s="3"/>
    </row>
    <row r="183" customHeight="1" spans="7:7">
      <c r="G183" s="3"/>
    </row>
    <row r="184" customHeight="1" spans="7:7">
      <c r="G184" s="3"/>
    </row>
    <row r="185" customHeight="1" spans="7:7">
      <c r="G185" s="3"/>
    </row>
    <row r="186" customHeight="1" spans="7:7">
      <c r="G186" s="3"/>
    </row>
    <row r="187" customHeight="1" spans="7:7">
      <c r="G187" s="3"/>
    </row>
    <row r="188" customHeight="1" spans="7:7">
      <c r="G188" s="3"/>
    </row>
    <row r="189" customHeight="1" spans="7:7">
      <c r="G189" s="3"/>
    </row>
    <row r="190" customHeight="1" spans="7:7">
      <c r="G190" s="3"/>
    </row>
    <row r="191" customHeight="1" spans="7:7">
      <c r="G191" s="3"/>
    </row>
    <row r="192" customHeight="1" spans="7:7">
      <c r="G192" s="3"/>
    </row>
    <row r="193" customHeight="1" spans="7:7">
      <c r="G193" s="3"/>
    </row>
    <row r="194" customHeight="1" spans="7:7">
      <c r="G194" s="3"/>
    </row>
    <row r="195" customHeight="1" spans="7:7">
      <c r="G195" s="3"/>
    </row>
    <row r="196" customHeight="1" spans="7:7">
      <c r="G196" s="3"/>
    </row>
    <row r="197" customHeight="1" spans="7:7">
      <c r="G197" s="3"/>
    </row>
    <row r="198" customHeight="1" spans="7:7">
      <c r="G198" s="3"/>
    </row>
    <row r="199" customHeight="1" spans="7:7">
      <c r="G199" s="3"/>
    </row>
    <row r="200" customHeight="1" spans="7:7">
      <c r="G200" s="3"/>
    </row>
    <row r="201" customHeight="1" spans="7:7">
      <c r="G201" s="3"/>
    </row>
    <row r="202" customHeight="1" spans="7:7">
      <c r="G202" s="3"/>
    </row>
    <row r="203" customHeight="1" spans="7:7">
      <c r="G203" s="3"/>
    </row>
    <row r="204" customHeight="1" spans="7:7">
      <c r="G204" s="3"/>
    </row>
    <row r="205" customHeight="1" spans="7:7">
      <c r="G205" s="3"/>
    </row>
    <row r="206" customHeight="1" spans="7:7">
      <c r="G206" s="3"/>
    </row>
    <row r="207" customHeight="1" spans="7:7">
      <c r="G207" s="3"/>
    </row>
    <row r="208" customHeight="1" spans="7:7">
      <c r="G208" s="3"/>
    </row>
    <row r="209" customHeight="1" spans="7:7">
      <c r="G209" s="3"/>
    </row>
    <row r="210" customHeight="1" spans="7:7">
      <c r="G210" s="3"/>
    </row>
    <row r="211" customHeight="1" spans="7:7">
      <c r="G211" s="3"/>
    </row>
    <row r="212" customHeight="1" spans="7:7">
      <c r="G212" s="3"/>
    </row>
    <row r="213" customHeight="1" spans="7:7">
      <c r="G213" s="3"/>
    </row>
    <row r="214" customHeight="1" spans="7:7">
      <c r="G214" s="3"/>
    </row>
    <row r="215" customHeight="1" spans="7:7">
      <c r="G215" s="3"/>
    </row>
    <row r="216" customHeight="1" spans="7:7">
      <c r="G216" s="3"/>
    </row>
    <row r="217" customHeight="1" spans="7:7">
      <c r="G217" s="3"/>
    </row>
    <row r="218" customHeight="1" spans="7:7">
      <c r="G218" s="3"/>
    </row>
    <row r="219" customHeight="1" spans="7:7">
      <c r="G219" s="3"/>
    </row>
    <row r="220" customHeight="1" spans="7:7">
      <c r="G220" s="3"/>
    </row>
    <row r="221" customHeight="1" spans="7:7">
      <c r="G221" s="3"/>
    </row>
    <row r="222" customHeight="1" spans="7:7">
      <c r="G222" s="3"/>
    </row>
    <row r="223" customHeight="1" spans="7:7">
      <c r="G223" s="3"/>
    </row>
    <row r="224" customHeight="1" spans="7:7">
      <c r="G224" s="3"/>
    </row>
    <row r="225" customHeight="1" spans="7:7">
      <c r="G225" s="3"/>
    </row>
    <row r="226" customHeight="1" spans="7:7">
      <c r="G226" s="3"/>
    </row>
    <row r="227" customHeight="1" spans="7:7">
      <c r="G227" s="3"/>
    </row>
    <row r="228" customHeight="1" spans="7:7">
      <c r="G228" s="3"/>
    </row>
    <row r="229" customHeight="1" spans="7:7">
      <c r="G229" s="3"/>
    </row>
    <row r="230" customHeight="1" spans="7:7">
      <c r="G230" s="3"/>
    </row>
    <row r="231" customHeight="1" spans="7:7">
      <c r="G231" s="3"/>
    </row>
    <row r="232" customHeight="1" spans="7:7">
      <c r="G232" s="3"/>
    </row>
    <row r="233" customHeight="1" spans="7:7">
      <c r="G233" s="3"/>
    </row>
    <row r="234" customHeight="1" spans="7:7">
      <c r="G234" s="3"/>
    </row>
    <row r="235" customHeight="1" spans="7:7">
      <c r="G235" s="3"/>
    </row>
    <row r="236" customHeight="1" spans="7:7">
      <c r="G236" s="3"/>
    </row>
    <row r="237" customHeight="1" spans="7:7">
      <c r="G237" s="3"/>
    </row>
    <row r="238" customHeight="1" spans="7:7">
      <c r="G238" s="3"/>
    </row>
    <row r="239" customHeight="1" spans="7:7">
      <c r="G239" s="3"/>
    </row>
    <row r="240" customHeight="1" spans="7:7">
      <c r="G240" s="3"/>
    </row>
    <row r="241" customHeight="1" spans="7:7">
      <c r="G241" s="3"/>
    </row>
    <row r="242" customHeight="1" spans="7:7">
      <c r="G242" s="3"/>
    </row>
    <row r="243" customHeight="1" spans="7:7">
      <c r="G243" s="3"/>
    </row>
    <row r="244" customHeight="1" spans="7:7">
      <c r="G244" s="3"/>
    </row>
    <row r="245" customHeight="1" spans="7:7">
      <c r="G245" s="3"/>
    </row>
    <row r="246" customHeight="1" spans="7:7">
      <c r="G246" s="3"/>
    </row>
    <row r="247" customHeight="1" spans="7:7">
      <c r="G247" s="3"/>
    </row>
    <row r="248" customHeight="1" spans="7:7">
      <c r="G248" s="3"/>
    </row>
    <row r="249" customHeight="1" spans="7:7">
      <c r="G249" s="3"/>
    </row>
    <row r="250" customHeight="1" spans="7:7">
      <c r="G250" s="3"/>
    </row>
    <row r="251" customHeight="1" spans="7:7">
      <c r="G251" s="3"/>
    </row>
    <row r="252" customHeight="1" spans="7:7">
      <c r="G252" s="3"/>
    </row>
    <row r="253" customHeight="1" spans="7:7">
      <c r="G253" s="3"/>
    </row>
    <row r="254" customHeight="1" spans="7:7">
      <c r="G254" s="3"/>
    </row>
    <row r="255" customHeight="1" spans="7:7">
      <c r="G255" s="3"/>
    </row>
    <row r="256" customHeight="1" spans="7:7">
      <c r="G256" s="3"/>
    </row>
    <row r="257" customHeight="1" spans="7:7">
      <c r="G257" s="3"/>
    </row>
    <row r="258" customHeight="1" spans="7:7">
      <c r="G258" s="3"/>
    </row>
    <row r="259" customHeight="1" spans="7:7">
      <c r="G259" s="3"/>
    </row>
    <row r="260" customHeight="1" spans="7:7">
      <c r="G260" s="3"/>
    </row>
    <row r="261" customHeight="1" spans="7:7">
      <c r="G261" s="3"/>
    </row>
    <row r="262" customHeight="1" spans="7:7">
      <c r="G262" s="3"/>
    </row>
    <row r="263" customHeight="1" spans="7:7">
      <c r="G263" s="3"/>
    </row>
    <row r="264" customHeight="1" spans="7:7">
      <c r="G264" s="3"/>
    </row>
    <row r="265" customHeight="1" spans="7:7">
      <c r="G265" s="3"/>
    </row>
    <row r="266" customHeight="1" spans="7:7">
      <c r="G266" s="3"/>
    </row>
    <row r="267" customHeight="1" spans="7:7">
      <c r="G267" s="3"/>
    </row>
    <row r="268" customHeight="1" spans="7:7">
      <c r="G268" s="3"/>
    </row>
    <row r="269" customHeight="1" spans="7:7">
      <c r="G269" s="3"/>
    </row>
    <row r="270" customHeight="1" spans="7:7">
      <c r="G270" s="3"/>
    </row>
    <row r="271" customHeight="1" spans="7:7">
      <c r="G271" s="3"/>
    </row>
    <row r="272" customHeight="1" spans="7:7">
      <c r="G272" s="3"/>
    </row>
    <row r="273" customHeight="1" spans="7:7">
      <c r="G273" s="3"/>
    </row>
    <row r="274" customHeight="1" spans="7:7">
      <c r="G274" s="3"/>
    </row>
    <row r="275" customHeight="1" spans="7:7">
      <c r="G275" s="3"/>
    </row>
    <row r="276" customHeight="1" spans="7:7">
      <c r="G276" s="3"/>
    </row>
    <row r="277" customHeight="1" spans="7:7">
      <c r="G277" s="3"/>
    </row>
    <row r="278" customHeight="1" spans="7:7">
      <c r="G278" s="3"/>
    </row>
    <row r="279" customHeight="1" spans="7:7">
      <c r="G279" s="3"/>
    </row>
    <row r="280" customHeight="1" spans="7:7">
      <c r="G280" s="3"/>
    </row>
    <row r="281" customHeight="1" spans="7:7">
      <c r="G281" s="3"/>
    </row>
    <row r="282" customHeight="1" spans="7:7">
      <c r="G282" s="3"/>
    </row>
    <row r="283" customHeight="1" spans="7:7">
      <c r="G283" s="3"/>
    </row>
    <row r="284" customHeight="1" spans="7:7">
      <c r="G284" s="3"/>
    </row>
    <row r="285" customHeight="1" spans="7:7">
      <c r="G285" s="3"/>
    </row>
    <row r="286" customHeight="1" spans="7:7">
      <c r="G286" s="3"/>
    </row>
    <row r="287" customHeight="1" spans="7:7">
      <c r="G287" s="3"/>
    </row>
    <row r="288" customHeight="1" spans="7:7">
      <c r="G288" s="3"/>
    </row>
    <row r="289" customHeight="1" spans="7:7">
      <c r="G289" s="3"/>
    </row>
    <row r="290" customHeight="1" spans="7:7">
      <c r="G290" s="3"/>
    </row>
    <row r="291" customHeight="1" spans="7:7">
      <c r="G291" s="3"/>
    </row>
    <row r="292" customHeight="1" spans="7:7">
      <c r="G292" s="3"/>
    </row>
    <row r="293" customHeight="1" spans="7:7">
      <c r="G293" s="3"/>
    </row>
    <row r="294" customHeight="1" spans="7:7">
      <c r="G294" s="3"/>
    </row>
    <row r="295" customHeight="1" spans="7:7">
      <c r="G295" s="3"/>
    </row>
    <row r="296" customHeight="1" spans="7:7">
      <c r="G296" s="3"/>
    </row>
    <row r="297" customHeight="1" spans="7:7">
      <c r="G297" s="3"/>
    </row>
    <row r="298" customHeight="1" spans="7:7">
      <c r="G298" s="3"/>
    </row>
    <row r="299" customHeight="1" spans="7:7">
      <c r="G299" s="3"/>
    </row>
    <row r="300" customHeight="1" spans="7:7">
      <c r="G300" s="3"/>
    </row>
    <row r="301" customHeight="1" spans="7:7">
      <c r="G301" s="3"/>
    </row>
    <row r="302" customHeight="1" spans="7:7">
      <c r="G302" s="3"/>
    </row>
    <row r="303" customHeight="1" spans="7:7">
      <c r="G303" s="3"/>
    </row>
    <row r="304" customHeight="1" spans="7:7">
      <c r="G304" s="3"/>
    </row>
    <row r="305" customHeight="1" spans="7:7">
      <c r="G305" s="3"/>
    </row>
    <row r="306" customHeight="1" spans="7:7">
      <c r="G306" s="3"/>
    </row>
    <row r="307" customHeight="1" spans="7:7">
      <c r="G307" s="3"/>
    </row>
    <row r="308" customHeight="1" spans="7:7">
      <c r="G308" s="3"/>
    </row>
    <row r="309" customHeight="1" spans="7:7">
      <c r="G309" s="3"/>
    </row>
    <row r="310" customHeight="1" spans="7:7">
      <c r="G310" s="3"/>
    </row>
    <row r="311" customHeight="1" spans="7:7">
      <c r="G311" s="3"/>
    </row>
    <row r="312" customHeight="1" spans="7:7">
      <c r="G312" s="3"/>
    </row>
    <row r="313" customHeight="1" spans="7:7">
      <c r="G313" s="3"/>
    </row>
    <row r="314" customHeight="1" spans="7:7">
      <c r="G314" s="3"/>
    </row>
    <row r="315" customHeight="1" spans="7:7">
      <c r="G315" s="3"/>
    </row>
    <row r="316" customHeight="1" spans="7:7">
      <c r="G316" s="3"/>
    </row>
    <row r="317" customHeight="1" spans="7:7">
      <c r="G317" s="3"/>
    </row>
    <row r="318" customHeight="1" spans="7:7">
      <c r="G318" s="3"/>
    </row>
    <row r="319" customHeight="1" spans="7:7">
      <c r="G319" s="3"/>
    </row>
    <row r="320" customHeight="1" spans="7:7">
      <c r="G320" s="3"/>
    </row>
    <row r="321" customHeight="1" spans="7:7">
      <c r="G321" s="3"/>
    </row>
    <row r="322" customHeight="1" spans="7:7">
      <c r="G322" s="3"/>
    </row>
    <row r="323" customHeight="1" spans="7:7">
      <c r="G323" s="3"/>
    </row>
    <row r="324" customHeight="1" spans="7:7">
      <c r="G324" s="3"/>
    </row>
    <row r="325" customHeight="1" spans="7:7">
      <c r="G325" s="3"/>
    </row>
    <row r="326" customHeight="1" spans="7:7">
      <c r="G326" s="3"/>
    </row>
    <row r="327" customHeight="1" spans="7:7">
      <c r="G327" s="3"/>
    </row>
    <row r="328" customHeight="1" spans="7:7">
      <c r="G328" s="3"/>
    </row>
    <row r="329" customHeight="1" spans="7:7">
      <c r="G329" s="3"/>
    </row>
    <row r="330" customHeight="1" spans="7:7">
      <c r="G330" s="3"/>
    </row>
    <row r="331" customHeight="1" spans="7:7">
      <c r="G331" s="3"/>
    </row>
    <row r="332" customHeight="1" spans="7:7">
      <c r="G332" s="3"/>
    </row>
    <row r="333" customHeight="1" spans="7:7">
      <c r="G333" s="3"/>
    </row>
    <row r="334" customHeight="1" spans="7:7">
      <c r="G334" s="3"/>
    </row>
    <row r="335" customHeight="1" spans="7:7">
      <c r="G335" s="3"/>
    </row>
    <row r="336" customHeight="1" spans="7:7">
      <c r="G336" s="3"/>
    </row>
    <row r="337" customHeight="1" spans="7:7">
      <c r="G337" s="3"/>
    </row>
    <row r="338" customHeight="1" spans="7:7">
      <c r="G338" s="3"/>
    </row>
    <row r="339" customHeight="1" spans="7:7">
      <c r="G339" s="3"/>
    </row>
    <row r="340" customHeight="1" spans="7:7">
      <c r="G340" s="3"/>
    </row>
    <row r="341" customHeight="1" spans="7:7">
      <c r="G341" s="3"/>
    </row>
    <row r="342" customHeight="1" spans="7:7">
      <c r="G342" s="3"/>
    </row>
    <row r="343" customHeight="1" spans="7:7">
      <c r="G343" s="3"/>
    </row>
    <row r="344" customHeight="1" spans="7:7">
      <c r="G344" s="3"/>
    </row>
    <row r="345" customHeight="1" spans="7:7">
      <c r="G345" s="3"/>
    </row>
    <row r="346" customHeight="1" spans="7:7">
      <c r="G346" s="3"/>
    </row>
    <row r="347" customHeight="1" spans="7:7">
      <c r="G347" s="3"/>
    </row>
    <row r="348" customHeight="1" spans="7:7">
      <c r="G348" s="3"/>
    </row>
    <row r="349" customHeight="1" spans="7:7">
      <c r="G349" s="3"/>
    </row>
    <row r="350" customHeight="1" spans="7:7">
      <c r="G350" s="3"/>
    </row>
    <row r="351" customHeight="1" spans="7:7">
      <c r="G351" s="3"/>
    </row>
    <row r="352" customHeight="1" spans="7:7">
      <c r="G352" s="3"/>
    </row>
    <row r="353" customHeight="1" spans="7:7">
      <c r="G353" s="3"/>
    </row>
    <row r="354" customHeight="1" spans="7:7">
      <c r="G354" s="3"/>
    </row>
    <row r="355" customHeight="1" spans="7:7">
      <c r="G355" s="3"/>
    </row>
    <row r="356" customHeight="1" spans="7:7">
      <c r="G356" s="3"/>
    </row>
    <row r="357" customHeight="1" spans="7:7">
      <c r="G357" s="3"/>
    </row>
    <row r="358" customHeight="1" spans="7:7">
      <c r="G358" s="3"/>
    </row>
    <row r="359" customHeight="1" spans="7:7">
      <c r="G359" s="3"/>
    </row>
    <row r="360" customHeight="1" spans="7:7">
      <c r="G360" s="3"/>
    </row>
    <row r="361" customHeight="1" spans="7:7">
      <c r="G361" s="3"/>
    </row>
    <row r="362" customHeight="1" spans="7:7">
      <c r="G362" s="3"/>
    </row>
    <row r="363" customHeight="1" spans="7:7">
      <c r="G363" s="3"/>
    </row>
    <row r="364" customHeight="1" spans="7:7">
      <c r="G364" s="3"/>
    </row>
    <row r="365" customHeight="1" spans="7:7">
      <c r="G365" s="3"/>
    </row>
    <row r="366" customHeight="1" spans="7:7">
      <c r="G366" s="3"/>
    </row>
    <row r="367" customHeight="1" spans="7:7">
      <c r="G367" s="3"/>
    </row>
    <row r="368" customHeight="1" spans="7:7">
      <c r="G368" s="3"/>
    </row>
    <row r="369" customHeight="1" spans="7:7">
      <c r="G369" s="3"/>
    </row>
    <row r="370" customHeight="1" spans="7:7">
      <c r="G370" s="3"/>
    </row>
    <row r="371" customHeight="1" spans="7:7">
      <c r="G371" s="3"/>
    </row>
    <row r="372" customHeight="1" spans="7:7">
      <c r="G372" s="3"/>
    </row>
    <row r="373" customHeight="1" spans="7:7">
      <c r="G373" s="3"/>
    </row>
    <row r="374" customHeight="1" spans="7:7">
      <c r="G374" s="3"/>
    </row>
    <row r="375" customHeight="1" spans="7:7">
      <c r="G375" s="3"/>
    </row>
    <row r="376" customHeight="1" spans="7:7">
      <c r="G376" s="3"/>
    </row>
    <row r="377" customHeight="1" spans="7:7">
      <c r="G377" s="3"/>
    </row>
    <row r="378" customHeight="1" spans="7:7">
      <c r="G378" s="3"/>
    </row>
    <row r="379" customHeight="1" spans="7:7">
      <c r="G379" s="3"/>
    </row>
    <row r="380" customHeight="1" spans="7:7">
      <c r="G380" s="3"/>
    </row>
    <row r="381" customHeight="1" spans="7:7">
      <c r="G381" s="3"/>
    </row>
    <row r="382" customHeight="1" spans="7:7">
      <c r="G382" s="3"/>
    </row>
    <row r="383" customHeight="1" spans="7:7">
      <c r="G383" s="3"/>
    </row>
    <row r="384" customHeight="1" spans="7:7">
      <c r="G384" s="3"/>
    </row>
    <row r="385" customHeight="1" spans="7:7">
      <c r="G385" s="3"/>
    </row>
    <row r="386" customHeight="1" spans="7:7">
      <c r="G386" s="3"/>
    </row>
    <row r="387" customHeight="1" spans="7:7">
      <c r="G387" s="3"/>
    </row>
    <row r="388" customHeight="1" spans="7:7">
      <c r="G388" s="3"/>
    </row>
    <row r="389" customHeight="1" spans="7:7">
      <c r="G389" s="3"/>
    </row>
    <row r="390" customHeight="1" spans="7:7">
      <c r="G390" s="3"/>
    </row>
    <row r="391" customHeight="1" spans="7:7">
      <c r="G391" s="3"/>
    </row>
    <row r="392" customHeight="1" spans="7:7">
      <c r="G392" s="3"/>
    </row>
    <row r="393" customHeight="1" spans="7:7">
      <c r="G393" s="3"/>
    </row>
    <row r="394" customHeight="1" spans="7:7">
      <c r="G394" s="3"/>
    </row>
    <row r="395" customHeight="1" spans="7:7">
      <c r="G395" s="3"/>
    </row>
    <row r="396" customHeight="1" spans="7:7">
      <c r="G396" s="3"/>
    </row>
    <row r="397" customHeight="1" spans="7:7">
      <c r="G397" s="3"/>
    </row>
  </sheetData>
  <sheetProtection selectLockedCells="1"/>
  <mergeCells count="6">
    <mergeCell ref="L6:M6"/>
    <mergeCell ref="L11:M11"/>
    <mergeCell ref="L16:M16"/>
    <mergeCell ref="L21:M21"/>
    <mergeCell ref="G1:G397"/>
    <mergeCell ref="L2:M4"/>
  </mergeCells>
  <conditionalFormatting sqref="E6">
    <cfRule type="cellIs" dxfId="9" priority="19" operator="equal">
      <formula>1667</formula>
    </cfRule>
  </conditionalFormatting>
  <conditionalFormatting sqref="B4:B33">
    <cfRule type="timePeriod" dxfId="2" priority="1" timePeriod="today">
      <formula>FLOOR(B4,1)=TODAY()</formula>
    </cfRule>
    <cfRule type="timePeriod" dxfId="2" priority="2" timePeriod="today">
      <formula>FLOOR(B4,1)=TODAY()</formula>
    </cfRule>
  </conditionalFormatting>
  <conditionalFormatting sqref="E2:E34">
    <cfRule type="cellIs" dxfId="6" priority="3" operator="between">
      <formula>750</formula>
      <formula>1666</formula>
    </cfRule>
    <cfRule type="cellIs" dxfId="7" priority="5" operator="equal">
      <formula>1667</formula>
    </cfRule>
    <cfRule type="iconSet" priority="6">
      <iconSet iconSet="3Symbols">
        <cfvo type="percent" val="0"/>
        <cfvo type="num" val="750"/>
        <cfvo type="num" val="1667"/>
      </iconSet>
    </cfRule>
    <cfRule type="iconSet" priority="7">
      <iconSet iconSet="3Symbols">
        <cfvo type="percent" val="0"/>
        <cfvo type="percent" val="50"/>
        <cfvo type="num" val="1667"/>
      </iconSet>
    </cfRule>
    <cfRule type="iconSet" priority="8">
      <iconSet iconSet="3Symbols">
        <cfvo type="percent" val="0"/>
        <cfvo type="percent" val="33"/>
        <cfvo type="num" val="1667"/>
      </iconSet>
    </cfRule>
    <cfRule type="iconSet" priority="9">
      <iconSet iconSet="3TrafficLights1">
        <cfvo type="percent" val="0"/>
        <cfvo type="num" val="750"/>
        <cfvo type="num" val="1667"/>
      </iconSet>
    </cfRule>
    <cfRule type="iconSet" priority="10">
      <iconSet iconSet="3Symbols">
        <cfvo type="percent" val="0"/>
        <cfvo type="percent" val="33"/>
        <cfvo type="percent" val="67"/>
      </iconSet>
    </cfRule>
    <cfRule type="cellIs" dxfId="6" priority="12" operator="between">
      <formula>750</formula>
      <formula>1500</formula>
    </cfRule>
    <cfRule type="cellIs" dxfId="10" priority="13" operator="between">
      <formula>750</formula>
      <formula>1500</formula>
    </cfRule>
  </conditionalFormatting>
  <conditionalFormatting sqref="E4:E33">
    <cfRule type="cellIs" dxfId="3" priority="4" operator="greaterThan">
      <formula>1666</formula>
    </cfRule>
    <cfRule type="cellIs" dxfId="11" priority="14" operator="equal">
      <formula>0</formula>
    </cfRule>
    <cfRule type="cellIs" dxfId="12" priority="17" operator="lessThan">
      <formula>750</formula>
    </cfRule>
  </conditionalFormatting>
  <conditionalFormatting sqref="E2 E4:E33">
    <cfRule type="cellIs" dxfId="13" priority="18" operator="lessThan">
      <formula>1667</formula>
    </cfRule>
    <cfRule type="cellIs" dxfId="14" priority="20" operator="equal">
      <formula>1667</formula>
    </cfRule>
    <cfRule type="cellIs" dxfId="13" priority="21" operator="equal">
      <formula>1667</formula>
    </cfRule>
    <cfRule type="cellIs" dxfId="13" priority="15" operator="lessThan">
      <formula>750</formula>
    </cfRule>
    <cfRule type="cellIs" dxfId="10" priority="16" operator="between">
      <formula>751</formula>
      <formula>1500</formula>
    </cfRule>
  </conditionalFormatting>
  <pageMargins left="0.699305555555556" right="0.699305555555556" top="0.75" bottom="0.75" header="0.3" footer="0.3"/>
  <pageSetup paperSize="1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Nanowrimo 2018</vt:lpstr>
      <vt:lpstr>Nanowrimo 2019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ashleighb</dc:creator>
  <cp:lastModifiedBy>AshleighB (ashanauthor)</cp:lastModifiedBy>
  <dcterms:created xsi:type="dcterms:W3CDTF">2017-11-05T09:42:00Z</dcterms:created>
  <dcterms:modified xsi:type="dcterms:W3CDTF">2019-02-17T16:13:49Z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1033-10.2.0.7635</vt:lpwstr>
  </property>
</Properties>
</file>